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 Master" sheetId="1" state="visible" r:id="rId3"/>
    <sheet name="Past Deals" sheetId="2" state="visible" r:id="rId4"/>
    <sheet name="Performance Scorecard" sheetId="3" state="visible" r:id="rId5"/>
    <sheet name="Contract Register" sheetId="4" state="visible" r:id="rId6"/>
    <sheet name="Material-Vendor Map" sheetId="5" state="visible" r:id="rId7"/>
    <sheet name="README - Backend 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<sst xmlns="http://schemas.openxmlformats.org/spreadsheetml/2006/main" count="897" uniqueCount="458">
  <si>
    <t xml:space="preserve">🏢  VENDOR MASTER DATABASE — ProcureAI System</t>
  </si>
  <si>
    <t xml:space="preserve">Vendor ID</t>
  </si>
  <si>
    <t xml:space="preserve">Vendor Name</t>
  </si>
  <si>
    <t xml:space="preserve">Category</t>
  </si>
  <si>
    <t xml:space="preserve">Sub-Category</t>
  </si>
  <si>
    <t xml:space="preserve">GSTIN</t>
  </si>
  <si>
    <t xml:space="preserve">PAN</t>
  </si>
  <si>
    <t xml:space="preserve">City</t>
  </si>
  <si>
    <t xml:space="preserve">State</t>
  </si>
  <si>
    <t xml:space="preserve">Country</t>
  </si>
  <si>
    <t xml:space="preserve">Contact Person</t>
  </si>
  <si>
    <t xml:space="preserve">Phone</t>
  </si>
  <si>
    <t xml:space="preserve">Email</t>
  </si>
  <si>
    <t xml:space="preserve">Contract Exists</t>
  </si>
  <si>
    <t xml:space="preserve">Contract ID</t>
  </si>
  <si>
    <t xml:space="preserve">Contract Valid Until</t>
  </si>
  <si>
    <t xml:space="preserve">SAP Vendor Code</t>
  </si>
  <si>
    <t xml:space="preserve">Payment Terms (Days)</t>
  </si>
  <si>
    <t xml:space="preserve">Currency</t>
  </si>
  <si>
    <t xml:space="preserve">VND-001</t>
  </si>
  <si>
    <t xml:space="preserve">Tata Steel Ltd</t>
  </si>
  <si>
    <t xml:space="preserve">Raw Materials</t>
  </si>
  <si>
    <t xml:space="preserve">Steel &amp; Alloys</t>
  </si>
  <si>
    <t xml:space="preserve">27AAACT2727Q1ZF</t>
  </si>
  <si>
    <t xml:space="preserve">AAACT2727Q</t>
  </si>
  <si>
    <t xml:space="preserve">Mumbai</t>
  </si>
  <si>
    <t xml:space="preserve">Maharashtra</t>
  </si>
  <si>
    <t xml:space="preserve">India</t>
  </si>
  <si>
    <t xml:space="preserve">Rajesh Sharma</t>
  </si>
  <si>
    <t xml:space="preserve">9821001001</t>
  </si>
  <si>
    <t xml:space="preserve">rajesh@tatasteel.com</t>
  </si>
  <si>
    <t xml:space="preserve">YES</t>
  </si>
  <si>
    <t xml:space="preserve">CTR-2024-001</t>
  </si>
  <si>
    <t xml:space="preserve">2026-03-31</t>
  </si>
  <si>
    <t xml:space="preserve">SAP-10001</t>
  </si>
  <si>
    <t xml:space="preserve">INR</t>
  </si>
  <si>
    <t xml:space="preserve">VND-002</t>
  </si>
  <si>
    <t xml:space="preserve">Infosys BPO Ltd</t>
  </si>
  <si>
    <t xml:space="preserve">IT Services</t>
  </si>
  <si>
    <t xml:space="preserve">Software Development</t>
  </si>
  <si>
    <t xml:space="preserve">29AABCI1681A1ZN</t>
  </si>
  <si>
    <t xml:space="preserve">AABCI1681A</t>
  </si>
  <si>
    <t xml:space="preserve">Bengaluru</t>
  </si>
  <si>
    <t xml:space="preserve">Karnataka</t>
  </si>
  <si>
    <t xml:space="preserve">Priya Nair</t>
  </si>
  <si>
    <t xml:space="preserve">9900002002</t>
  </si>
  <si>
    <t xml:space="preserve">priya@infosys.com</t>
  </si>
  <si>
    <t xml:space="preserve">CTR-2024-002</t>
  </si>
  <si>
    <t xml:space="preserve">2025-12-31</t>
  </si>
  <si>
    <t xml:space="preserve">SAP-10002</t>
  </si>
  <si>
    <t xml:space="preserve">VND-003</t>
  </si>
  <si>
    <t xml:space="preserve">DHL Supply Chain India</t>
  </si>
  <si>
    <t xml:space="preserve">Logistics</t>
  </si>
  <si>
    <t xml:space="preserve">Freight &amp; Warehousing</t>
  </si>
  <si>
    <t xml:space="preserve">07AABCD4853Q1ZP</t>
  </si>
  <si>
    <t xml:space="preserve">AABCD4853Q</t>
  </si>
  <si>
    <t xml:space="preserve">Delhi</t>
  </si>
  <si>
    <t xml:space="preserve">Amit Singh</t>
  </si>
  <si>
    <t xml:space="preserve">9711003003</t>
  </si>
  <si>
    <t xml:space="preserve">amit@dhl.com</t>
  </si>
  <si>
    <t xml:space="preserve">CTR-2024-003</t>
  </si>
  <si>
    <t xml:space="preserve">2026-06-30</t>
  </si>
  <si>
    <t xml:space="preserve">SAP-10003</t>
  </si>
  <si>
    <t xml:space="preserve">VND-004</t>
  </si>
  <si>
    <t xml:space="preserve">Havells India Ltd</t>
  </si>
  <si>
    <t xml:space="preserve">Electrical</t>
  </si>
  <si>
    <t xml:space="preserve">Industrial Equipment</t>
  </si>
  <si>
    <t xml:space="preserve">09AAACH4897R1ZA</t>
  </si>
  <si>
    <t xml:space="preserve">AAACH4897R</t>
  </si>
  <si>
    <t xml:space="preserve">Noida</t>
  </si>
  <si>
    <t xml:space="preserve">Uttar Pradesh</t>
  </si>
  <si>
    <t xml:space="preserve">Sunita Verma</t>
  </si>
  <si>
    <t xml:space="preserve">9871004004</t>
  </si>
  <si>
    <t xml:space="preserve">sunita@havells.com</t>
  </si>
  <si>
    <t xml:space="preserve">NO</t>
  </si>
  <si>
    <t xml:space="preserve">SAP-10004</t>
  </si>
  <si>
    <t xml:space="preserve">VND-005</t>
  </si>
  <si>
    <t xml:space="preserve">Asian Paints Ltd</t>
  </si>
  <si>
    <t xml:space="preserve">MRO</t>
  </si>
  <si>
    <t xml:space="preserve">Paints &amp; Coatings</t>
  </si>
  <si>
    <t xml:space="preserve">27AAACA4849H1Z8</t>
  </si>
  <si>
    <t xml:space="preserve">AAACA4849H</t>
  </si>
  <si>
    <t xml:space="preserve">Kiran Patel</t>
  </si>
  <si>
    <t xml:space="preserve">9820005005</t>
  </si>
  <si>
    <t xml:space="preserve">kiran@asianpaints.com</t>
  </si>
  <si>
    <t xml:space="preserve">CTR-2023-011</t>
  </si>
  <si>
    <t xml:space="preserve">2025-09-30</t>
  </si>
  <si>
    <t xml:space="preserve">SAP-10005</t>
  </si>
  <si>
    <t xml:space="preserve">VND-006</t>
  </si>
  <si>
    <t xml:space="preserve">Wipro Infrastructure</t>
  </si>
  <si>
    <t xml:space="preserve">Facility Mgmt</t>
  </si>
  <si>
    <t xml:space="preserve">Cleaning &amp; Security</t>
  </si>
  <si>
    <t xml:space="preserve">29AAACW4969F1ZJ</t>
  </si>
  <si>
    <t xml:space="preserve">AAACW4969F</t>
  </si>
  <si>
    <t xml:space="preserve">Deepa Rao</t>
  </si>
  <si>
    <t xml:space="preserve">9901006006</t>
  </si>
  <si>
    <t xml:space="preserve">deepa@wipro.com</t>
  </si>
  <si>
    <t xml:space="preserve">CTR-2024-006</t>
  </si>
  <si>
    <t xml:space="preserve">2026-01-31</t>
  </si>
  <si>
    <t xml:space="preserve">SAP-10006</t>
  </si>
  <si>
    <t xml:space="preserve">VND-007</t>
  </si>
  <si>
    <t xml:space="preserve">Mahindra Logistics</t>
  </si>
  <si>
    <t xml:space="preserve">Last-Mile Delivery</t>
  </si>
  <si>
    <t xml:space="preserve">27AAACM3025F1ZI</t>
  </si>
  <si>
    <t xml:space="preserve">AAACM3025F</t>
  </si>
  <si>
    <t xml:space="preserve">Rohit Mehta</t>
  </si>
  <si>
    <t xml:space="preserve">9822007007</t>
  </si>
  <si>
    <t xml:space="preserve">rohit@mahindralog.com</t>
  </si>
  <si>
    <t xml:space="preserve">SAP-10007</t>
  </si>
  <si>
    <t xml:space="preserve">VND-008</t>
  </si>
  <si>
    <t xml:space="preserve">Bosch India Ltd</t>
  </si>
  <si>
    <t xml:space="preserve">Tools &amp; Hardware</t>
  </si>
  <si>
    <t xml:space="preserve">29AAACB0472C1ZJ</t>
  </si>
  <si>
    <t xml:space="preserve">AAACB0472C</t>
  </si>
  <si>
    <t xml:space="preserve">Anjali Kumar</t>
  </si>
  <si>
    <t xml:space="preserve">9902008008</t>
  </si>
  <si>
    <t xml:space="preserve">anjali@bosch.com</t>
  </si>
  <si>
    <t xml:space="preserve">CTR-2024-008</t>
  </si>
  <si>
    <t xml:space="preserve">2025-11-30</t>
  </si>
  <si>
    <t xml:space="preserve">SAP-10008</t>
  </si>
  <si>
    <t xml:space="preserve">VND-009</t>
  </si>
  <si>
    <t xml:space="preserve">3M India Ltd</t>
  </si>
  <si>
    <t xml:space="preserve">Office Supplies</t>
  </si>
  <si>
    <t xml:space="preserve">Stationery &amp; PPE</t>
  </si>
  <si>
    <t xml:space="preserve">29AAACS9793B1ZQ</t>
  </si>
  <si>
    <t xml:space="preserve">AAACS9793B</t>
  </si>
  <si>
    <t xml:space="preserve">Vivek Joshi</t>
  </si>
  <si>
    <t xml:space="preserve">9903009009</t>
  </si>
  <si>
    <t xml:space="preserve">vivek@3m.com</t>
  </si>
  <si>
    <t xml:space="preserve">SAP-10009</t>
  </si>
  <si>
    <t xml:space="preserve">VND-010</t>
  </si>
  <si>
    <t xml:space="preserve">Siemens India Ltd</t>
  </si>
  <si>
    <t xml:space="preserve">IT Hardware</t>
  </si>
  <si>
    <t xml:space="preserve">Servers &amp; Networking</t>
  </si>
  <si>
    <t xml:space="preserve">27AAACS4259Q1ZC</t>
  </si>
  <si>
    <t xml:space="preserve">AAACS4259Q</t>
  </si>
  <si>
    <t xml:space="preserve">Neha Gupta</t>
  </si>
  <si>
    <t xml:space="preserve">9821010010</t>
  </si>
  <si>
    <t xml:space="preserve">neha@siemens.com</t>
  </si>
  <si>
    <t xml:space="preserve">CTR-2024-010</t>
  </si>
  <si>
    <t xml:space="preserve">2026-09-30</t>
  </si>
  <si>
    <t xml:space="preserve">SAP-10010</t>
  </si>
  <si>
    <t xml:space="preserve">VND-011</t>
  </si>
  <si>
    <t xml:space="preserve">Reliance Jio Infra</t>
  </si>
  <si>
    <t xml:space="preserve">Telecom</t>
  </si>
  <si>
    <t xml:space="preserve">Network Services</t>
  </si>
  <si>
    <t xml:space="preserve">27AAACR5055K1Z5</t>
  </si>
  <si>
    <t xml:space="preserve">AAACR5055K</t>
  </si>
  <si>
    <t xml:space="preserve">Sanjay Shah</t>
  </si>
  <si>
    <t xml:space="preserve">9820011011</t>
  </si>
  <si>
    <t xml:space="preserve">sanjay@jio.com</t>
  </si>
  <si>
    <t xml:space="preserve">CTR-2024-011</t>
  </si>
  <si>
    <t xml:space="preserve">2027-03-31</t>
  </si>
  <si>
    <t xml:space="preserve">SAP-10011</t>
  </si>
  <si>
    <t xml:space="preserve">VND-012</t>
  </si>
  <si>
    <t xml:space="preserve">CEAT Tyres Ltd</t>
  </si>
  <si>
    <t xml:space="preserve">Rubber &amp; Polymers</t>
  </si>
  <si>
    <t xml:space="preserve">27AAACL0316P1ZT</t>
  </si>
  <si>
    <t xml:space="preserve">AAACL0316P</t>
  </si>
  <si>
    <t xml:space="preserve">Meera Pillai</t>
  </si>
  <si>
    <t xml:space="preserve">9821012012</t>
  </si>
  <si>
    <t xml:space="preserve">meera@ceat.com</t>
  </si>
  <si>
    <t xml:space="preserve">SAP-10012</t>
  </si>
  <si>
    <t xml:space="preserve">📋  PAST DEALS &amp; ORDER HISTORY</t>
  </si>
  <si>
    <t xml:space="preserve">Deal ID</t>
  </si>
  <si>
    <t xml:space="preserve">PO Number</t>
  </si>
  <si>
    <t xml:space="preserve">Material / Service</t>
  </si>
  <si>
    <t xml:space="preserve">Quantity</t>
  </si>
  <si>
    <t xml:space="preserve">Unit</t>
  </si>
  <si>
    <t xml:space="preserve">Unit Price (₹)</t>
  </si>
  <si>
    <t xml:space="preserve">Total Value (₹)</t>
  </si>
  <si>
    <t xml:space="preserve">PO Date</t>
  </si>
  <si>
    <t xml:space="preserve">Delivery Date</t>
  </si>
  <si>
    <t xml:space="preserve">Actual Delivery</t>
  </si>
  <si>
    <t xml:space="preserve">Status</t>
  </si>
  <si>
    <t xml:space="preserve">DL-2024-001</t>
  </si>
  <si>
    <t xml:space="preserve">PO-2024-0101</t>
  </si>
  <si>
    <t xml:space="preserve">HR Steel Coil 2mm</t>
  </si>
  <si>
    <t xml:space="preserve">MT</t>
  </si>
  <si>
    <t xml:space="preserve">2024-01-10</t>
  </si>
  <si>
    <t xml:space="preserve">2024-02-10</t>
  </si>
  <si>
    <t xml:space="preserve">2024-02-08</t>
  </si>
  <si>
    <t xml:space="preserve">Completed</t>
  </si>
  <si>
    <t xml:space="preserve">DL-2024-002</t>
  </si>
  <si>
    <t xml:space="preserve">PO-2024-0102</t>
  </si>
  <si>
    <t xml:space="preserve">ERP Customisation</t>
  </si>
  <si>
    <t xml:space="preserve">Project</t>
  </si>
  <si>
    <t xml:space="preserve">2024-01-15</t>
  </si>
  <si>
    <t xml:space="preserve">2024-04-15</t>
  </si>
  <si>
    <t xml:space="preserve">2024-04-20</t>
  </si>
  <si>
    <t xml:space="preserve">DL-2024-003</t>
  </si>
  <si>
    <t xml:space="preserve">PO-2024-0103</t>
  </si>
  <si>
    <t xml:space="preserve">Pan-India Freight</t>
  </si>
  <si>
    <t xml:space="preserve">Month</t>
  </si>
  <si>
    <t xml:space="preserve">2024-02-01</t>
  </si>
  <si>
    <t xml:space="preserve">2024-02-28</t>
  </si>
  <si>
    <t xml:space="preserve">DL-2024-004</t>
  </si>
  <si>
    <t xml:space="preserve">PO-2024-0104</t>
  </si>
  <si>
    <t xml:space="preserve">Industrial Motors 5HP</t>
  </si>
  <si>
    <t xml:space="preserve">Units</t>
  </si>
  <si>
    <t xml:space="preserve">2024-03-10</t>
  </si>
  <si>
    <t xml:space="preserve">2024-03-15</t>
  </si>
  <si>
    <t xml:space="preserve">DL-2024-005</t>
  </si>
  <si>
    <t xml:space="preserve">PO-2024-0105</t>
  </si>
  <si>
    <t xml:space="preserve">Epoxy Floor Paint</t>
  </si>
  <si>
    <t xml:space="preserve">Ltrs</t>
  </si>
  <si>
    <t xml:space="preserve">2024-03-01</t>
  </si>
  <si>
    <t xml:space="preserve">2024-03-14</t>
  </si>
  <si>
    <t xml:space="preserve">DL-2024-006</t>
  </si>
  <si>
    <t xml:space="preserve">PO-2024-0201</t>
  </si>
  <si>
    <t xml:space="preserve">MS Pipes 50mm</t>
  </si>
  <si>
    <t xml:space="preserve">2024-04-01</t>
  </si>
  <si>
    <t xml:space="preserve">2024-05-01</t>
  </si>
  <si>
    <t xml:space="preserve">2024-04-29</t>
  </si>
  <si>
    <t xml:space="preserve">DL-2024-007</t>
  </si>
  <si>
    <t xml:space="preserve">PO-2024-0202</t>
  </si>
  <si>
    <t xml:space="preserve">Housekeeping Services</t>
  </si>
  <si>
    <t xml:space="preserve">Months</t>
  </si>
  <si>
    <t xml:space="preserve">2024-07-15</t>
  </si>
  <si>
    <t xml:space="preserve">DL-2024-008</t>
  </si>
  <si>
    <t xml:space="preserve">PO-2024-0203</t>
  </si>
  <si>
    <t xml:space="preserve">Dell PowerEdge Servers</t>
  </si>
  <si>
    <t xml:space="preserve">2024-05-30</t>
  </si>
  <si>
    <t xml:space="preserve">2024-06-05</t>
  </si>
  <si>
    <t xml:space="preserve">DL-2024-009</t>
  </si>
  <si>
    <t xml:space="preserve">PO-2024-0204</t>
  </si>
  <si>
    <t xml:space="preserve">Power Tools Set</t>
  </si>
  <si>
    <t xml:space="preserve">Sets</t>
  </si>
  <si>
    <t xml:space="preserve">2024-05-10</t>
  </si>
  <si>
    <t xml:space="preserve">2024-05-25</t>
  </si>
  <si>
    <t xml:space="preserve">2024-05-24</t>
  </si>
  <si>
    <t xml:space="preserve">DL-2024-010</t>
  </si>
  <si>
    <t xml:space="preserve">PO-2024-0301</t>
  </si>
  <si>
    <t xml:space="preserve">Warehouse Storage</t>
  </si>
  <si>
    <t xml:space="preserve">2024-06-01</t>
  </si>
  <si>
    <t xml:space="preserve">2024-06-30</t>
  </si>
  <si>
    <t xml:space="preserve">DL-2024-011</t>
  </si>
  <si>
    <t xml:space="preserve">PO-2024-0302</t>
  </si>
  <si>
    <t xml:space="preserve">Cybersecurity Audit</t>
  </si>
  <si>
    <t xml:space="preserve">2024-06-15</t>
  </si>
  <si>
    <t xml:space="preserve">2024-08-15</t>
  </si>
  <si>
    <t xml:space="preserve">2024-08-10</t>
  </si>
  <si>
    <t xml:space="preserve">DL-2024-012</t>
  </si>
  <si>
    <t xml:space="preserve">PO-2024-0303</t>
  </si>
  <si>
    <t xml:space="preserve">2024-07-01</t>
  </si>
  <si>
    <t xml:space="preserve">2024-07-31</t>
  </si>
  <si>
    <t xml:space="preserve">2024-08-05</t>
  </si>
  <si>
    <t xml:space="preserve">DL-2024-013</t>
  </si>
  <si>
    <t xml:space="preserve">PO-2024-0401</t>
  </si>
  <si>
    <t xml:space="preserve">Leased Line 100Mbps</t>
  </si>
  <si>
    <t xml:space="preserve">2025-07-14</t>
  </si>
  <si>
    <t xml:space="preserve">Active</t>
  </si>
  <si>
    <t xml:space="preserve">DL-2024-014</t>
  </si>
  <si>
    <t xml:space="preserve">PO-2024-0402</t>
  </si>
  <si>
    <t xml:space="preserve">CR Steel Sheet 1mm</t>
  </si>
  <si>
    <t xml:space="preserve">2024-08-01</t>
  </si>
  <si>
    <t xml:space="preserve">2024-09-01</t>
  </si>
  <si>
    <t xml:space="preserve">2024-08-30</t>
  </si>
  <si>
    <t xml:space="preserve">DL-2024-015</t>
  </si>
  <si>
    <t xml:space="preserve">PO-2024-0403</t>
  </si>
  <si>
    <t xml:space="preserve">Safety PPE Kits</t>
  </si>
  <si>
    <t xml:space="preserve">2024-08-25</t>
  </si>
  <si>
    <t xml:space="preserve">2024-08-24</t>
  </si>
  <si>
    <t xml:space="preserve">DL-2024-016</t>
  </si>
  <si>
    <t xml:space="preserve">PO-2024-0501</t>
  </si>
  <si>
    <t xml:space="preserve">Anti-Rust Primer</t>
  </si>
  <si>
    <t xml:space="preserve">2024-09-15</t>
  </si>
  <si>
    <t xml:space="preserve">2024-09-16</t>
  </si>
  <si>
    <t xml:space="preserve">DL-2024-017</t>
  </si>
  <si>
    <t xml:space="preserve">PO-2024-0502</t>
  </si>
  <si>
    <t xml:space="preserve">Security Guards</t>
  </si>
  <si>
    <t xml:space="preserve">2024-12-15</t>
  </si>
  <si>
    <t xml:space="preserve">DL-2024-018</t>
  </si>
  <si>
    <t xml:space="preserve">PO-2024-0503</t>
  </si>
  <si>
    <t xml:space="preserve">LED Lighting Kit</t>
  </si>
  <si>
    <t xml:space="preserve">2024-10-01</t>
  </si>
  <si>
    <t xml:space="preserve">2024-10-20</t>
  </si>
  <si>
    <t xml:space="preserve">2024-10-22</t>
  </si>
  <si>
    <t xml:space="preserve">DL-2025-001</t>
  </si>
  <si>
    <t xml:space="preserve">PO-2025-0101</t>
  </si>
  <si>
    <t xml:space="preserve">HR Steel Coil 3mm</t>
  </si>
  <si>
    <t xml:space="preserve">2025-01-05</t>
  </si>
  <si>
    <t xml:space="preserve">2025-02-05</t>
  </si>
  <si>
    <t xml:space="preserve">2025-02-03</t>
  </si>
  <si>
    <t xml:space="preserve">DL-2025-002</t>
  </si>
  <si>
    <t xml:space="preserve">PO-2025-0102</t>
  </si>
  <si>
    <t xml:space="preserve">Network Switches</t>
  </si>
  <si>
    <t xml:space="preserve">2025-01-10</t>
  </si>
  <si>
    <t xml:space="preserve">2025-01-30</t>
  </si>
  <si>
    <t xml:space="preserve">2025-01-29</t>
  </si>
  <si>
    <t xml:space="preserve">DL-2025-003</t>
  </si>
  <si>
    <t xml:space="preserve">PO-2025-0103</t>
  </si>
  <si>
    <t xml:space="preserve">2025-02-01</t>
  </si>
  <si>
    <t xml:space="preserve">2025-02-28</t>
  </si>
  <si>
    <t xml:space="preserve">DL-2025-004</t>
  </si>
  <si>
    <t xml:space="preserve">PO-2025-0201</t>
  </si>
  <si>
    <t xml:space="preserve">AI Model Integration</t>
  </si>
  <si>
    <t xml:space="preserve">2025-02-15</t>
  </si>
  <si>
    <t xml:space="preserve">2025-06-15</t>
  </si>
  <si>
    <t xml:space="preserve">In Progress</t>
  </si>
  <si>
    <t xml:space="preserve">DL-2025-005</t>
  </si>
  <si>
    <t xml:space="preserve">PO-2025-0202</t>
  </si>
  <si>
    <t xml:space="preserve">Hydraulic Tools</t>
  </si>
  <si>
    <t xml:space="preserve">2025-03-01</t>
  </si>
  <si>
    <t xml:space="preserve">2025-03-20</t>
  </si>
  <si>
    <t xml:space="preserve">2025-03-19</t>
  </si>
  <si>
    <t xml:space="preserve">📊  VENDOR PERFORMANCE SCORECARD (AI Scoring Model)</t>
  </si>
  <si>
    <t xml:space="preserve">On-Time Delivery %</t>
  </si>
  <si>
    <t xml:space="preserve">Quality Score (/10)</t>
  </si>
  <si>
    <t xml:space="preserve">Price Competitiveness (/10)</t>
  </si>
  <si>
    <t xml:space="preserve">Defect Rate %</t>
  </si>
  <si>
    <t xml:space="preserve">Response Time (hrs)</t>
  </si>
  <si>
    <t xml:space="preserve">Compliance Score (/10)</t>
  </si>
  <si>
    <t xml:space="preserve">Total Orders</t>
  </si>
  <si>
    <t xml:space="preserve">Completed Orders</t>
  </si>
  <si>
    <t xml:space="preserve">Disputes Raised</t>
  </si>
  <si>
    <t xml:space="preserve">Avg Delay (Days)</t>
  </si>
  <si>
    <t xml:space="preserve">Risk Level</t>
  </si>
  <si>
    <t xml:space="preserve">AI Score (/100)</t>
  </si>
  <si>
    <t xml:space="preserve">LOW</t>
  </si>
  <si>
    <t xml:space="preserve">MEDIUM</t>
  </si>
  <si>
    <t xml:space="preserve">HIGH</t>
  </si>
  <si>
    <t xml:space="preserve">NEW</t>
  </si>
  <si>
    <t xml:space="preserve">📄  CONTRACT REGISTER — Active &amp; Expired Contracts</t>
  </si>
  <si>
    <t xml:space="preserve">Contract Type</t>
  </si>
  <si>
    <t xml:space="preserve">Start Date</t>
  </si>
  <si>
    <t xml:space="preserve">End Date</t>
  </si>
  <si>
    <t xml:space="preserve">Contract Value (₹)</t>
  </si>
  <si>
    <t xml:space="preserve">Negotiated Rate</t>
  </si>
  <si>
    <t xml:space="preserve">SLA Terms</t>
  </si>
  <si>
    <t xml:space="preserve">Payment Terms</t>
  </si>
  <si>
    <t xml:space="preserve">Auto-Renew</t>
  </si>
  <si>
    <t xml:space="preserve">Rate Contract</t>
  </si>
  <si>
    <t xml:space="preserve">₹52,000/MT</t>
  </si>
  <si>
    <t xml:space="preserve">Delivery within 30 days of PO</t>
  </si>
  <si>
    <t xml:space="preserve">Net 30</t>
  </si>
  <si>
    <t xml:space="preserve">Master Service Agreement</t>
  </si>
  <si>
    <t xml:space="preserve">2024-01-01</t>
  </si>
  <si>
    <t xml:space="preserve">As per SOW</t>
  </si>
  <si>
    <t xml:space="preserve">Go-live within agreed timeline</t>
  </si>
  <si>
    <t xml:space="preserve">Net 45</t>
  </si>
  <si>
    <t xml:space="preserve">Annual Contract</t>
  </si>
  <si>
    <t xml:space="preserve">₹320K/month freight</t>
  </si>
  <si>
    <t xml:space="preserve">99% on-time delivery SLA</t>
  </si>
  <si>
    <t xml:space="preserve">Net 15</t>
  </si>
  <si>
    <t xml:space="preserve">Service Contract</t>
  </si>
  <si>
    <t xml:space="preserve">As per Annexure A</t>
  </si>
  <si>
    <t xml:space="preserve">24/7 security, daily cleaning</t>
  </si>
  <si>
    <t xml:space="preserve">Framework Agreement</t>
  </si>
  <si>
    <t xml:space="preserve">List minus 12%</t>
  </si>
  <si>
    <t xml:space="preserve">Delivery in 7 days</t>
  </si>
  <si>
    <t xml:space="preserve">OEM Price minus 8%</t>
  </si>
  <si>
    <t xml:space="preserve">30-day warranty replacement</t>
  </si>
  <si>
    <t xml:space="preserve">Service Agreement</t>
  </si>
  <si>
    <t xml:space="preserve">₹75K/month per link</t>
  </si>
  <si>
    <t xml:space="preserve">99.9% uptime SLA</t>
  </si>
  <si>
    <t xml:space="preserve">2023-10-01</t>
  </si>
  <si>
    <t xml:space="preserve">Depot price minus 5%</t>
  </si>
  <si>
    <t xml:space="preserve">Delivery within 5 days</t>
  </si>
  <si>
    <t xml:space="preserve">Expiring Soon</t>
  </si>
  <si>
    <t xml:space="preserve">CTR-2023-005</t>
  </si>
  <si>
    <t xml:space="preserve">Pilot Contract</t>
  </si>
  <si>
    <t xml:space="preserve">2023-06-01</t>
  </si>
  <si>
    <t xml:space="preserve">2024-05-31</t>
  </si>
  <si>
    <t xml:space="preserve">₹240K/month</t>
  </si>
  <si>
    <t xml:space="preserve">Best effort delivery</t>
  </si>
  <si>
    <t xml:space="preserve">Expired</t>
  </si>
  <si>
    <t xml:space="preserve">CTR-2022-003</t>
  </si>
  <si>
    <t xml:space="preserve">2022-04-01</t>
  </si>
  <si>
    <t xml:space="preserve">2024-03-31</t>
  </si>
  <si>
    <t xml:space="preserve">Trade price minus 10%</t>
  </si>
  <si>
    <t xml:space="preserve">Delivery in 14 days</t>
  </si>
  <si>
    <t xml:space="preserve">🔗  MATERIAL TO VENDOR MAPPING (SAP Filter Table)</t>
  </si>
  <si>
    <t xml:space="preserve">Material Code</t>
  </si>
  <si>
    <t xml:space="preserve">Material Description</t>
  </si>
  <si>
    <t xml:space="preserve">Primary Vendor ID</t>
  </si>
  <si>
    <t xml:space="preserve">Primary Vendor</t>
  </si>
  <si>
    <t xml:space="preserve">Secondary Vendor ID</t>
  </si>
  <si>
    <t xml:space="preserve">Secondary Vendor</t>
  </si>
  <si>
    <t xml:space="preserve">Contract Available</t>
  </si>
  <si>
    <t xml:space="preserve">Preferred Vendor</t>
  </si>
  <si>
    <t xml:space="preserve">MAT-001</t>
  </si>
  <si>
    <t xml:space="preserve">HR Steel Coil</t>
  </si>
  <si>
    <t xml:space="preserve">MAT-002</t>
  </si>
  <si>
    <t xml:space="preserve">MS Pipes</t>
  </si>
  <si>
    <t xml:space="preserve">—</t>
  </si>
  <si>
    <t xml:space="preserve">MAT-003</t>
  </si>
  <si>
    <t xml:space="preserve">CR Steel Sheet</t>
  </si>
  <si>
    <t xml:space="preserve">MAT-004</t>
  </si>
  <si>
    <t xml:space="preserve">Industrial Motors</t>
  </si>
  <si>
    <t xml:space="preserve">MAT-005</t>
  </si>
  <si>
    <t xml:space="preserve">LED Lighting</t>
  </si>
  <si>
    <t xml:space="preserve">MAT-006</t>
  </si>
  <si>
    <t xml:space="preserve">MAT-007</t>
  </si>
  <si>
    <t xml:space="preserve">MAT-008</t>
  </si>
  <si>
    <t xml:space="preserve">Power Tools</t>
  </si>
  <si>
    <t xml:space="preserve">MAT-009</t>
  </si>
  <si>
    <t xml:space="preserve">MAT-010</t>
  </si>
  <si>
    <t xml:space="preserve">MAT-011</t>
  </si>
  <si>
    <t xml:space="preserve">Servers &amp; Hardware</t>
  </si>
  <si>
    <t xml:space="preserve">MAT-012</t>
  </si>
  <si>
    <t xml:space="preserve">MAT-013</t>
  </si>
  <si>
    <t xml:space="preserve">MAT-014</t>
  </si>
  <si>
    <t xml:space="preserve">MAT-015</t>
  </si>
  <si>
    <t xml:space="preserve">MAT-016</t>
  </si>
  <si>
    <t xml:space="preserve">MAT-017</t>
  </si>
  <si>
    <t xml:space="preserve">Security Services</t>
  </si>
  <si>
    <t xml:space="preserve">MAT-018</t>
  </si>
  <si>
    <t xml:space="preserve">Leased Line Telecom</t>
  </si>
  <si>
    <t xml:space="preserve">📖  BACKEND INTEGRATION GUIDE — ProcureAI Vendor Database</t>
  </si>
  <si>
    <t xml:space="preserve">SHEET STRUCTURE &amp; BACKEND MAPPING</t>
  </si>
  <si>
    <t xml:space="preserve">SHEET</t>
  </si>
  <si>
    <t xml:space="preserve">PURPOSE</t>
  </si>
  <si>
    <t xml:space="preserve">PRIMARY KEY</t>
  </si>
  <si>
    <t xml:space="preserve">FOREIGN KEYS</t>
  </si>
  <si>
    <t xml:space="preserve">BACKEND TABLE</t>
  </si>
  <si>
    <t xml:space="preserve">API ENDPOINT</t>
  </si>
  <si>
    <t xml:space="preserve">Vendor Master</t>
  </si>
  <si>
    <t xml:space="preserve">Master list of all vendors with contact &amp; contract info</t>
  </si>
  <si>
    <t xml:space="preserve">vendors</t>
  </si>
  <si>
    <t xml:space="preserve">GET /vendors, POST /vendors</t>
  </si>
  <si>
    <t xml:space="preserve">Past Deals</t>
  </si>
  <si>
    <t xml:space="preserve">All historical purchase orders and deal outcomes</t>
  </si>
  <si>
    <t xml:space="preserve">Vendor ID → Vendor Master</t>
  </si>
  <si>
    <t xml:space="preserve">purchase_history</t>
  </si>
  <si>
    <t xml:space="preserve">GET /vendors/{id}/deals</t>
  </si>
  <si>
    <t xml:space="preserve">Performance Scorecard</t>
  </si>
  <si>
    <t xml:space="preserve">AI-calculated vendor scores used for bid evaluation</t>
  </si>
  <si>
    <t xml:space="preserve">vendor_performance</t>
  </si>
  <si>
    <t xml:space="preserve">GET /vendors/{id}/score</t>
  </si>
  <si>
    <t xml:space="preserve">Contract Register</t>
  </si>
  <si>
    <t xml:space="preserve">Active, expiring, and expired contracts per vendor</t>
  </si>
  <si>
    <t xml:space="preserve">contracts</t>
  </si>
  <si>
    <t xml:space="preserve">GET /contracts, GET /vendors/{id}/contracts</t>
  </si>
  <si>
    <t xml:space="preserve">Material-Vendor Map</t>
  </si>
  <si>
    <t xml:space="preserve">Which vendor supplies which material (SAP filter logic)</t>
  </si>
  <si>
    <t xml:space="preserve">material_vendor_map</t>
  </si>
  <si>
    <t xml:space="preserve">GET /vendors/for-material?code=MAT-001</t>
  </si>
  <si>
    <t xml:space="preserve">HOW TO LOAD THIS INTO YOUR FASTAPI BACKEND</t>
  </si>
  <si>
    <t xml:space="preserve">Step 1: Install: pip install pandas openpyxl sqlalchemy</t>
  </si>
  <si>
    <t xml:space="preserve">Step 2: Load all sheets with pandas:</t>
  </si>
  <si>
    <t xml:space="preserve">   import pandas as pd</t>
  </si>
  <si>
    <t xml:space="preserve">   xls = pd.ExcelFile("VendorDatabase_ProcureAI.xlsx")</t>
  </si>
  <si>
    <t xml:space="preserve">   df_vendors  = pd.read_excel(xls, "Vendor Master")</t>
  </si>
  <si>
    <t xml:space="preserve">   df_deals    = pd.read_excel(xls, "Past Deals")</t>
  </si>
  <si>
    <t xml:space="preserve">   df_perf     = pd.read_excel(xls, "Performance Scorecard")</t>
  </si>
  <si>
    <t xml:space="preserve">   df_contract = pd.read_excel(xls, "Contract Register")</t>
  </si>
  <si>
    <t xml:space="preserve">   df_map      = pd.read_excel(xls, "Material-Vendor Map")</t>
  </si>
  <si>
    <t xml:space="preserve">Step 3: Write to PostgreSQL:</t>
  </si>
  <si>
    <t xml:space="preserve">   df_vendors.to_sql("vendors", engine, if_exists="replace", index=False)</t>
  </si>
  <si>
    <t xml:space="preserve">   df_perf.to_sql("vendor_performance", engine, if_exists="replace", index=False)</t>
  </si>
  <si>
    <t xml:space="preserve">Step 4: AI Agent uses vendor_performance table for scoring.</t>
  </si>
  <si>
    <t xml:space="preserve">        Contract Register drives the Skip-RFQ logic.</t>
  </si>
  <si>
    <t xml:space="preserve">        Material-Vendor Map is the SAP filter for Step 1 sourcing.</t>
  </si>
  <si>
    <t xml:space="preserve">SCORING FORMULA (Sheet: Performance Scorecard, Column O):</t>
  </si>
  <si>
    <t xml:space="preserve">   AI Score = On-Time% × 0.30 + Quality × 0.25 + Price × 0.20</t>
  </si>
  <si>
    <t xml:space="preserve">            + (1-DefectRate) × 0.10 + ResponseTime × 0.05</t>
  </si>
  <si>
    <t xml:space="preserve">            + Compliance × 0.10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</si>
</sst>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color rgb="FF276221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Cambria"/>
      <family val="0"/>
      <charset val="1"/>
    </font>
    <font>
      <sz val="10"/>
      <name val="Courier Ne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C6EFCE"/>
        <bgColor rgb="FFDDEBF7"/>
      </patternFill>
    </fill>
    <fill>
      <patternFill patternType="solid">
        <fgColor rgb="FFF0F4FA"/>
        <bgColor rgb="FFFFFFFF"/>
      </patternFill>
    </fill>
    <fill>
      <patternFill patternType="solid">
        <fgColor rgb="FFFFCCCC"/>
        <bgColor rgb="FFD0D0D0"/>
      </patternFill>
    </fill>
    <fill>
      <patternFill patternType="solid">
        <fgColor rgb="FFDDEBF7"/>
        <bgColor rgb="FFF0F4FA"/>
      </patternFill>
    </fill>
    <fill>
      <patternFill patternType="solid">
        <fgColor rgb="FFFFEB9C"/>
        <bgColor rgb="FFFFCCC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0F4FA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CC"/>
      <rgbColor rgb="FF2E75B6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4" min="13" style="0" width="14"/>
    <col collapsed="false" customWidth="true" hidden="false" outlineLevel="0" max="15" min="15" style="0" width="18"/>
    <col collapsed="false" customWidth="true" hidden="false" outlineLevel="0" max="16" min="16" style="0" width="14"/>
    <col collapsed="false" customWidth="true" hidden="false" outlineLevel="0" max="17" min="17" style="0" width="18"/>
    <col collapsed="false" customWidth="true" hidden="false" outlineLevel="0" max="18" min="18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19.5" hidden="false" customHeight="true" outlineLevel="0" collapsed="false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4" t="s">
        <v>31</v>
      </c>
      <c r="N3" s="3" t="s">
        <v>32</v>
      </c>
      <c r="O3" s="3" t="s">
        <v>33</v>
      </c>
      <c r="P3" s="3" t="s">
        <v>34</v>
      </c>
      <c r="Q3" s="3" t="n">
        <v>30</v>
      </c>
      <c r="R3" s="3" t="s">
        <v>35</v>
      </c>
    </row>
    <row r="4" customFormat="false" ht="19.5" hidden="false" customHeight="true" outlineLevel="0" collapsed="false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27</v>
      </c>
      <c r="J4" s="5" t="s">
        <v>44</v>
      </c>
      <c r="K4" s="5" t="s">
        <v>45</v>
      </c>
      <c r="L4" s="5" t="s">
        <v>46</v>
      </c>
      <c r="M4" s="4" t="s">
        <v>31</v>
      </c>
      <c r="N4" s="5" t="s">
        <v>47</v>
      </c>
      <c r="O4" s="5" t="s">
        <v>48</v>
      </c>
      <c r="P4" s="5" t="s">
        <v>49</v>
      </c>
      <c r="Q4" s="5" t="n">
        <v>45</v>
      </c>
      <c r="R4" s="5" t="s">
        <v>35</v>
      </c>
    </row>
    <row r="5" customFormat="false" ht="19.5" hidden="false" customHeight="true" outlineLevel="0" collapsed="false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56</v>
      </c>
      <c r="I5" s="3" t="s">
        <v>27</v>
      </c>
      <c r="J5" s="3" t="s">
        <v>57</v>
      </c>
      <c r="K5" s="3" t="s">
        <v>58</v>
      </c>
      <c r="L5" s="3" t="s">
        <v>59</v>
      </c>
      <c r="M5" s="4" t="s">
        <v>31</v>
      </c>
      <c r="N5" s="3" t="s">
        <v>60</v>
      </c>
      <c r="O5" s="3" t="s">
        <v>61</v>
      </c>
      <c r="P5" s="3" t="s">
        <v>62</v>
      </c>
      <c r="Q5" s="3" t="n">
        <v>15</v>
      </c>
      <c r="R5" s="3" t="s">
        <v>35</v>
      </c>
    </row>
    <row r="6" customFormat="false" ht="19.5" hidden="false" customHeight="true" outlineLevel="0" collapsed="false">
      <c r="A6" s="5" t="s">
        <v>63</v>
      </c>
      <c r="B6" s="5" t="s">
        <v>64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70</v>
      </c>
      <c r="I6" s="5" t="s">
        <v>27</v>
      </c>
      <c r="J6" s="5" t="s">
        <v>71</v>
      </c>
      <c r="K6" s="5" t="s">
        <v>72</v>
      </c>
      <c r="L6" s="5" t="s">
        <v>73</v>
      </c>
      <c r="M6" s="6" t="s">
        <v>74</v>
      </c>
      <c r="N6" s="5"/>
      <c r="O6" s="5"/>
      <c r="P6" s="5" t="s">
        <v>75</v>
      </c>
      <c r="Q6" s="5" t="n">
        <v>30</v>
      </c>
      <c r="R6" s="5" t="s">
        <v>35</v>
      </c>
    </row>
    <row r="7" customFormat="false" ht="19.5" hidden="false" customHeight="true" outlineLevel="0" collapsed="false">
      <c r="A7" s="3" t="s">
        <v>76</v>
      </c>
      <c r="B7" s="3" t="s">
        <v>77</v>
      </c>
      <c r="C7" s="3" t="s">
        <v>78</v>
      </c>
      <c r="D7" s="3" t="s">
        <v>79</v>
      </c>
      <c r="E7" s="3" t="s">
        <v>80</v>
      </c>
      <c r="F7" s="3" t="s">
        <v>81</v>
      </c>
      <c r="G7" s="3" t="s">
        <v>25</v>
      </c>
      <c r="H7" s="3" t="s">
        <v>26</v>
      </c>
      <c r="I7" s="3" t="s">
        <v>27</v>
      </c>
      <c r="J7" s="3" t="s">
        <v>82</v>
      </c>
      <c r="K7" s="3" t="s">
        <v>83</v>
      </c>
      <c r="L7" s="3" t="s">
        <v>84</v>
      </c>
      <c r="M7" s="4" t="s">
        <v>31</v>
      </c>
      <c r="N7" s="3" t="s">
        <v>85</v>
      </c>
      <c r="O7" s="3" t="s">
        <v>86</v>
      </c>
      <c r="P7" s="3" t="s">
        <v>87</v>
      </c>
      <c r="Q7" s="3" t="n">
        <v>30</v>
      </c>
      <c r="R7" s="3" t="s">
        <v>35</v>
      </c>
    </row>
    <row r="8" customFormat="false" ht="19.5" hidden="false" customHeight="true" outlineLevel="0" collapsed="false">
      <c r="A8" s="5" t="s">
        <v>88</v>
      </c>
      <c r="B8" s="5" t="s">
        <v>89</v>
      </c>
      <c r="C8" s="5" t="s">
        <v>90</v>
      </c>
      <c r="D8" s="5" t="s">
        <v>91</v>
      </c>
      <c r="E8" s="5" t="s">
        <v>92</v>
      </c>
      <c r="F8" s="5" t="s">
        <v>93</v>
      </c>
      <c r="G8" s="5" t="s">
        <v>42</v>
      </c>
      <c r="H8" s="5" t="s">
        <v>43</v>
      </c>
      <c r="I8" s="5" t="s">
        <v>27</v>
      </c>
      <c r="J8" s="5" t="s">
        <v>94</v>
      </c>
      <c r="K8" s="5" t="s">
        <v>95</v>
      </c>
      <c r="L8" s="5" t="s">
        <v>96</v>
      </c>
      <c r="M8" s="4" t="s">
        <v>31</v>
      </c>
      <c r="N8" s="5" t="s">
        <v>97</v>
      </c>
      <c r="O8" s="5" t="s">
        <v>98</v>
      </c>
      <c r="P8" s="5" t="s">
        <v>99</v>
      </c>
      <c r="Q8" s="5" t="n">
        <v>45</v>
      </c>
      <c r="R8" s="5" t="s">
        <v>35</v>
      </c>
    </row>
    <row r="9" customFormat="false" ht="19.5" hidden="false" customHeight="true" outlineLevel="0" collapsed="false">
      <c r="A9" s="3" t="s">
        <v>100</v>
      </c>
      <c r="B9" s="3" t="s">
        <v>101</v>
      </c>
      <c r="C9" s="3" t="s">
        <v>52</v>
      </c>
      <c r="D9" s="3" t="s">
        <v>102</v>
      </c>
      <c r="E9" s="3" t="s">
        <v>103</v>
      </c>
      <c r="F9" s="3" t="s">
        <v>104</v>
      </c>
      <c r="G9" s="3" t="s">
        <v>25</v>
      </c>
      <c r="H9" s="3" t="s">
        <v>26</v>
      </c>
      <c r="I9" s="3" t="s">
        <v>27</v>
      </c>
      <c r="J9" s="3" t="s">
        <v>105</v>
      </c>
      <c r="K9" s="3" t="s">
        <v>106</v>
      </c>
      <c r="L9" s="3" t="s">
        <v>107</v>
      </c>
      <c r="M9" s="6" t="s">
        <v>74</v>
      </c>
      <c r="N9" s="3"/>
      <c r="O9" s="3"/>
      <c r="P9" s="3" t="s">
        <v>108</v>
      </c>
      <c r="Q9" s="3" t="n">
        <v>30</v>
      </c>
      <c r="R9" s="3" t="s">
        <v>35</v>
      </c>
    </row>
    <row r="10" customFormat="false" ht="19.5" hidden="false" customHeight="true" outlineLevel="0" collapsed="false">
      <c r="A10" s="5" t="s">
        <v>109</v>
      </c>
      <c r="B10" s="5" t="s">
        <v>110</v>
      </c>
      <c r="C10" s="5" t="s">
        <v>78</v>
      </c>
      <c r="D10" s="5" t="s">
        <v>111</v>
      </c>
      <c r="E10" s="5" t="s">
        <v>112</v>
      </c>
      <c r="F10" s="5" t="s">
        <v>113</v>
      </c>
      <c r="G10" s="5" t="s">
        <v>42</v>
      </c>
      <c r="H10" s="5" t="s">
        <v>43</v>
      </c>
      <c r="I10" s="5" t="s">
        <v>27</v>
      </c>
      <c r="J10" s="5" t="s">
        <v>114</v>
      </c>
      <c r="K10" s="5" t="s">
        <v>115</v>
      </c>
      <c r="L10" s="5" t="s">
        <v>116</v>
      </c>
      <c r="M10" s="4" t="s">
        <v>31</v>
      </c>
      <c r="N10" s="5" t="s">
        <v>117</v>
      </c>
      <c r="O10" s="5" t="s">
        <v>118</v>
      </c>
      <c r="P10" s="5" t="s">
        <v>119</v>
      </c>
      <c r="Q10" s="5" t="n">
        <v>30</v>
      </c>
      <c r="R10" s="5" t="s">
        <v>35</v>
      </c>
    </row>
    <row r="11" customFormat="false" ht="19.5" hidden="false" customHeight="true" outlineLevel="0" collapsed="false">
      <c r="A11" s="3" t="s">
        <v>120</v>
      </c>
      <c r="B11" s="3" t="s">
        <v>121</v>
      </c>
      <c r="C11" s="3" t="s">
        <v>122</v>
      </c>
      <c r="D11" s="3" t="s">
        <v>123</v>
      </c>
      <c r="E11" s="3" t="s">
        <v>124</v>
      </c>
      <c r="F11" s="3" t="s">
        <v>125</v>
      </c>
      <c r="G11" s="3" t="s">
        <v>42</v>
      </c>
      <c r="H11" s="3" t="s">
        <v>43</v>
      </c>
      <c r="I11" s="3" t="s">
        <v>27</v>
      </c>
      <c r="J11" s="3" t="s">
        <v>126</v>
      </c>
      <c r="K11" s="3" t="s">
        <v>127</v>
      </c>
      <c r="L11" s="3" t="s">
        <v>128</v>
      </c>
      <c r="M11" s="6" t="s">
        <v>74</v>
      </c>
      <c r="N11" s="3"/>
      <c r="O11" s="3"/>
      <c r="P11" s="3" t="s">
        <v>129</v>
      </c>
      <c r="Q11" s="3" t="n">
        <v>15</v>
      </c>
      <c r="R11" s="3" t="s">
        <v>35</v>
      </c>
    </row>
    <row r="12" customFormat="false" ht="19.5" hidden="false" customHeight="true" outlineLevel="0" collapsed="false">
      <c r="A12" s="5" t="s">
        <v>130</v>
      </c>
      <c r="B12" s="5" t="s">
        <v>131</v>
      </c>
      <c r="C12" s="5" t="s">
        <v>132</v>
      </c>
      <c r="D12" s="5" t="s">
        <v>133</v>
      </c>
      <c r="E12" s="5" t="s">
        <v>134</v>
      </c>
      <c r="F12" s="5" t="s">
        <v>135</v>
      </c>
      <c r="G12" s="5" t="s">
        <v>25</v>
      </c>
      <c r="H12" s="5" t="s">
        <v>26</v>
      </c>
      <c r="I12" s="5" t="s">
        <v>27</v>
      </c>
      <c r="J12" s="5" t="s">
        <v>136</v>
      </c>
      <c r="K12" s="5" t="s">
        <v>137</v>
      </c>
      <c r="L12" s="5" t="s">
        <v>138</v>
      </c>
      <c r="M12" s="4" t="s">
        <v>31</v>
      </c>
      <c r="N12" s="5" t="s">
        <v>139</v>
      </c>
      <c r="O12" s="5" t="s">
        <v>140</v>
      </c>
      <c r="P12" s="5" t="s">
        <v>141</v>
      </c>
      <c r="Q12" s="5" t="n">
        <v>45</v>
      </c>
      <c r="R12" s="5" t="s">
        <v>35</v>
      </c>
    </row>
    <row r="13" customFormat="false" ht="19.5" hidden="false" customHeight="true" outlineLevel="0" collapsed="false">
      <c r="A13" s="3" t="s">
        <v>142</v>
      </c>
      <c r="B13" s="3" t="s">
        <v>143</v>
      </c>
      <c r="C13" s="3" t="s">
        <v>144</v>
      </c>
      <c r="D13" s="3" t="s">
        <v>145</v>
      </c>
      <c r="E13" s="3" t="s">
        <v>146</v>
      </c>
      <c r="F13" s="3" t="s">
        <v>147</v>
      </c>
      <c r="G13" s="3" t="s">
        <v>25</v>
      </c>
      <c r="H13" s="3" t="s">
        <v>26</v>
      </c>
      <c r="I13" s="3" t="s">
        <v>27</v>
      </c>
      <c r="J13" s="3" t="s">
        <v>148</v>
      </c>
      <c r="K13" s="3" t="s">
        <v>149</v>
      </c>
      <c r="L13" s="3" t="s">
        <v>150</v>
      </c>
      <c r="M13" s="4" t="s">
        <v>31</v>
      </c>
      <c r="N13" s="3" t="s">
        <v>151</v>
      </c>
      <c r="O13" s="3" t="s">
        <v>152</v>
      </c>
      <c r="P13" s="3" t="s">
        <v>153</v>
      </c>
      <c r="Q13" s="3" t="n">
        <v>30</v>
      </c>
      <c r="R13" s="3" t="s">
        <v>35</v>
      </c>
    </row>
    <row r="14" customFormat="false" ht="19.5" hidden="false" customHeight="true" outlineLevel="0" collapsed="false">
      <c r="A14" s="5" t="s">
        <v>154</v>
      </c>
      <c r="B14" s="5" t="s">
        <v>155</v>
      </c>
      <c r="C14" s="5" t="s">
        <v>21</v>
      </c>
      <c r="D14" s="5" t="s">
        <v>156</v>
      </c>
      <c r="E14" s="5" t="s">
        <v>157</v>
      </c>
      <c r="F14" s="5" t="s">
        <v>158</v>
      </c>
      <c r="G14" s="5" t="s">
        <v>25</v>
      </c>
      <c r="H14" s="5" t="s">
        <v>26</v>
      </c>
      <c r="I14" s="5" t="s">
        <v>27</v>
      </c>
      <c r="J14" s="5" t="s">
        <v>159</v>
      </c>
      <c r="K14" s="5" t="s">
        <v>160</v>
      </c>
      <c r="L14" s="5" t="s">
        <v>161</v>
      </c>
      <c r="M14" s="6" t="s">
        <v>74</v>
      </c>
      <c r="N14" s="5"/>
      <c r="O14" s="5"/>
      <c r="P14" s="5" t="s">
        <v>162</v>
      </c>
      <c r="Q14" s="5" t="n">
        <v>30</v>
      </c>
      <c r="R14" s="5" t="s">
        <v>35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4" min="14" style="0" width="13"/>
  </cols>
  <sheetData>
    <row r="1" customFormat="false" ht="36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164</v>
      </c>
      <c r="B2" s="2" t="s">
        <v>1</v>
      </c>
      <c r="C2" s="2" t="s">
        <v>2</v>
      </c>
      <c r="D2" s="2" t="s">
        <v>165</v>
      </c>
      <c r="E2" s="2" t="s">
        <v>3</v>
      </c>
      <c r="F2" s="2" t="s">
        <v>166</v>
      </c>
      <c r="G2" s="2" t="s">
        <v>167</v>
      </c>
      <c r="H2" s="2" t="s">
        <v>168</v>
      </c>
      <c r="I2" s="2" t="s">
        <v>169</v>
      </c>
      <c r="J2" s="2" t="s">
        <v>170</v>
      </c>
      <c r="K2" s="2" t="s">
        <v>171</v>
      </c>
      <c r="L2" s="2" t="s">
        <v>172</v>
      </c>
      <c r="M2" s="2" t="s">
        <v>173</v>
      </c>
      <c r="N2" s="2" t="s">
        <v>174</v>
      </c>
    </row>
    <row r="3" customFormat="false" ht="19.5" hidden="false" customHeight="true" outlineLevel="0" collapsed="false">
      <c r="A3" s="3" t="s">
        <v>175</v>
      </c>
      <c r="B3" s="3" t="s">
        <v>19</v>
      </c>
      <c r="C3" s="3" t="s">
        <v>20</v>
      </c>
      <c r="D3" s="3" t="s">
        <v>176</v>
      </c>
      <c r="E3" s="3" t="s">
        <v>21</v>
      </c>
      <c r="F3" s="3" t="s">
        <v>177</v>
      </c>
      <c r="G3" s="3" t="n">
        <v>500</v>
      </c>
      <c r="H3" s="3" t="s">
        <v>178</v>
      </c>
      <c r="I3" s="7" t="n">
        <v>52000</v>
      </c>
      <c r="J3" s="7" t="n">
        <f aca="false">G3*I3</f>
        <v>26000000</v>
      </c>
      <c r="K3" s="3" t="s">
        <v>179</v>
      </c>
      <c r="L3" s="3" t="s">
        <v>180</v>
      </c>
      <c r="M3" s="3" t="s">
        <v>181</v>
      </c>
      <c r="N3" s="4" t="s">
        <v>182</v>
      </c>
    </row>
    <row r="4" customFormat="false" ht="19.5" hidden="false" customHeight="true" outlineLevel="0" collapsed="false">
      <c r="A4" s="5" t="s">
        <v>183</v>
      </c>
      <c r="B4" s="5" t="s">
        <v>36</v>
      </c>
      <c r="C4" s="5" t="s">
        <v>37</v>
      </c>
      <c r="D4" s="5" t="s">
        <v>184</v>
      </c>
      <c r="E4" s="5" t="s">
        <v>38</v>
      </c>
      <c r="F4" s="5" t="s">
        <v>185</v>
      </c>
      <c r="G4" s="5" t="n">
        <v>1</v>
      </c>
      <c r="H4" s="5" t="s">
        <v>186</v>
      </c>
      <c r="I4" s="8" t="n">
        <v>1500000</v>
      </c>
      <c r="J4" s="8" t="n">
        <f aca="false">G4*I4</f>
        <v>1500000</v>
      </c>
      <c r="K4" s="5" t="s">
        <v>187</v>
      </c>
      <c r="L4" s="5" t="s">
        <v>188</v>
      </c>
      <c r="M4" s="5" t="s">
        <v>189</v>
      </c>
      <c r="N4" s="4" t="s">
        <v>182</v>
      </c>
    </row>
    <row r="5" customFormat="false" ht="19.5" hidden="false" customHeight="true" outlineLevel="0" collapsed="false">
      <c r="A5" s="3" t="s">
        <v>190</v>
      </c>
      <c r="B5" s="3" t="s">
        <v>50</v>
      </c>
      <c r="C5" s="3" t="s">
        <v>51</v>
      </c>
      <c r="D5" s="3" t="s">
        <v>191</v>
      </c>
      <c r="E5" s="3" t="s">
        <v>52</v>
      </c>
      <c r="F5" s="3" t="s">
        <v>192</v>
      </c>
      <c r="G5" s="3" t="n">
        <v>1</v>
      </c>
      <c r="H5" s="3" t="s">
        <v>193</v>
      </c>
      <c r="I5" s="7" t="n">
        <v>320000</v>
      </c>
      <c r="J5" s="7" t="n">
        <f aca="false">G5*I5</f>
        <v>320000</v>
      </c>
      <c r="K5" s="3" t="s">
        <v>194</v>
      </c>
      <c r="L5" s="3" t="s">
        <v>195</v>
      </c>
      <c r="M5" s="3" t="s">
        <v>195</v>
      </c>
      <c r="N5" s="4" t="s">
        <v>182</v>
      </c>
    </row>
    <row r="6" customFormat="false" ht="19.5" hidden="false" customHeight="true" outlineLevel="0" collapsed="false">
      <c r="A6" s="5" t="s">
        <v>196</v>
      </c>
      <c r="B6" s="5" t="s">
        <v>63</v>
      </c>
      <c r="C6" s="5" t="s">
        <v>64</v>
      </c>
      <c r="D6" s="5" t="s">
        <v>197</v>
      </c>
      <c r="E6" s="5" t="s">
        <v>65</v>
      </c>
      <c r="F6" s="5" t="s">
        <v>198</v>
      </c>
      <c r="G6" s="5" t="n">
        <v>20</v>
      </c>
      <c r="H6" s="5" t="s">
        <v>199</v>
      </c>
      <c r="I6" s="8" t="n">
        <v>45000</v>
      </c>
      <c r="J6" s="8" t="n">
        <f aca="false">G6*I6</f>
        <v>900000</v>
      </c>
      <c r="K6" s="5" t="s">
        <v>180</v>
      </c>
      <c r="L6" s="5" t="s">
        <v>200</v>
      </c>
      <c r="M6" s="5" t="s">
        <v>201</v>
      </c>
      <c r="N6" s="4" t="s">
        <v>182</v>
      </c>
    </row>
    <row r="7" customFormat="false" ht="19.5" hidden="false" customHeight="true" outlineLevel="0" collapsed="false">
      <c r="A7" s="3" t="s">
        <v>202</v>
      </c>
      <c r="B7" s="3" t="s">
        <v>76</v>
      </c>
      <c r="C7" s="3" t="s">
        <v>77</v>
      </c>
      <c r="D7" s="3" t="s">
        <v>203</v>
      </c>
      <c r="E7" s="3" t="s">
        <v>78</v>
      </c>
      <c r="F7" s="3" t="s">
        <v>204</v>
      </c>
      <c r="G7" s="3" t="n">
        <v>200</v>
      </c>
      <c r="H7" s="3" t="s">
        <v>205</v>
      </c>
      <c r="I7" s="7" t="n">
        <v>850</v>
      </c>
      <c r="J7" s="7" t="n">
        <f aca="false">G7*I7</f>
        <v>170000</v>
      </c>
      <c r="K7" s="3" t="s">
        <v>206</v>
      </c>
      <c r="L7" s="3" t="s">
        <v>201</v>
      </c>
      <c r="M7" s="3" t="s">
        <v>207</v>
      </c>
      <c r="N7" s="4" t="s">
        <v>182</v>
      </c>
    </row>
    <row r="8" customFormat="false" ht="19.5" hidden="false" customHeight="true" outlineLevel="0" collapsed="false">
      <c r="A8" s="5" t="s">
        <v>208</v>
      </c>
      <c r="B8" s="5" t="s">
        <v>19</v>
      </c>
      <c r="C8" s="5" t="s">
        <v>20</v>
      </c>
      <c r="D8" s="5" t="s">
        <v>209</v>
      </c>
      <c r="E8" s="5" t="s">
        <v>21</v>
      </c>
      <c r="F8" s="5" t="s">
        <v>210</v>
      </c>
      <c r="G8" s="5" t="n">
        <v>300</v>
      </c>
      <c r="H8" s="5" t="s">
        <v>178</v>
      </c>
      <c r="I8" s="8" t="n">
        <v>48000</v>
      </c>
      <c r="J8" s="8" t="n">
        <f aca="false">G8*I8</f>
        <v>14400000</v>
      </c>
      <c r="K8" s="5" t="s">
        <v>211</v>
      </c>
      <c r="L8" s="5" t="s">
        <v>212</v>
      </c>
      <c r="M8" s="5" t="s">
        <v>213</v>
      </c>
      <c r="N8" s="4" t="s">
        <v>182</v>
      </c>
    </row>
    <row r="9" customFormat="false" ht="19.5" hidden="false" customHeight="true" outlineLevel="0" collapsed="false">
      <c r="A9" s="3" t="s">
        <v>214</v>
      </c>
      <c r="B9" s="3" t="s">
        <v>88</v>
      </c>
      <c r="C9" s="3" t="s">
        <v>89</v>
      </c>
      <c r="D9" s="3" t="s">
        <v>215</v>
      </c>
      <c r="E9" s="3" t="s">
        <v>90</v>
      </c>
      <c r="F9" s="3" t="s">
        <v>216</v>
      </c>
      <c r="G9" s="3" t="n">
        <v>3</v>
      </c>
      <c r="H9" s="3" t="s">
        <v>217</v>
      </c>
      <c r="I9" s="7" t="n">
        <v>180000</v>
      </c>
      <c r="J9" s="7" t="n">
        <f aca="false">G9*I9</f>
        <v>540000</v>
      </c>
      <c r="K9" s="3" t="s">
        <v>188</v>
      </c>
      <c r="L9" s="3" t="s">
        <v>218</v>
      </c>
      <c r="M9" s="3" t="s">
        <v>218</v>
      </c>
      <c r="N9" s="4" t="s">
        <v>182</v>
      </c>
    </row>
    <row r="10" customFormat="false" ht="19.5" hidden="false" customHeight="true" outlineLevel="0" collapsed="false">
      <c r="A10" s="5" t="s">
        <v>219</v>
      </c>
      <c r="B10" s="5" t="s">
        <v>130</v>
      </c>
      <c r="C10" s="5" t="s">
        <v>131</v>
      </c>
      <c r="D10" s="5" t="s">
        <v>220</v>
      </c>
      <c r="E10" s="5" t="s">
        <v>132</v>
      </c>
      <c r="F10" s="5" t="s">
        <v>221</v>
      </c>
      <c r="G10" s="5" t="n">
        <v>5</v>
      </c>
      <c r="H10" s="5" t="s">
        <v>199</v>
      </c>
      <c r="I10" s="8" t="n">
        <v>280000</v>
      </c>
      <c r="J10" s="8" t="n">
        <f aca="false">G10*I10</f>
        <v>1400000</v>
      </c>
      <c r="K10" s="5" t="s">
        <v>212</v>
      </c>
      <c r="L10" s="5" t="s">
        <v>222</v>
      </c>
      <c r="M10" s="5" t="s">
        <v>223</v>
      </c>
      <c r="N10" s="4" t="s">
        <v>182</v>
      </c>
    </row>
    <row r="11" customFormat="false" ht="19.5" hidden="false" customHeight="true" outlineLevel="0" collapsed="false">
      <c r="A11" s="3" t="s">
        <v>224</v>
      </c>
      <c r="B11" s="3" t="s">
        <v>109</v>
      </c>
      <c r="C11" s="3" t="s">
        <v>110</v>
      </c>
      <c r="D11" s="3" t="s">
        <v>225</v>
      </c>
      <c r="E11" s="3" t="s">
        <v>78</v>
      </c>
      <c r="F11" s="3" t="s">
        <v>226</v>
      </c>
      <c r="G11" s="3" t="n">
        <v>50</v>
      </c>
      <c r="H11" s="3" t="s">
        <v>227</v>
      </c>
      <c r="I11" s="7" t="n">
        <v>12500</v>
      </c>
      <c r="J11" s="7" t="n">
        <f aca="false">G11*I11</f>
        <v>625000</v>
      </c>
      <c r="K11" s="3" t="s">
        <v>228</v>
      </c>
      <c r="L11" s="3" t="s">
        <v>229</v>
      </c>
      <c r="M11" s="3" t="s">
        <v>230</v>
      </c>
      <c r="N11" s="4" t="s">
        <v>182</v>
      </c>
    </row>
    <row r="12" customFormat="false" ht="19.5" hidden="false" customHeight="true" outlineLevel="0" collapsed="false">
      <c r="A12" s="5" t="s">
        <v>231</v>
      </c>
      <c r="B12" s="5" t="s">
        <v>50</v>
      </c>
      <c r="C12" s="5" t="s">
        <v>51</v>
      </c>
      <c r="D12" s="5" t="s">
        <v>232</v>
      </c>
      <c r="E12" s="5" t="s">
        <v>52</v>
      </c>
      <c r="F12" s="5" t="s">
        <v>233</v>
      </c>
      <c r="G12" s="5" t="n">
        <v>1</v>
      </c>
      <c r="H12" s="5" t="s">
        <v>193</v>
      </c>
      <c r="I12" s="8" t="n">
        <v>420000</v>
      </c>
      <c r="J12" s="8" t="n">
        <f aca="false">G12*I12</f>
        <v>420000</v>
      </c>
      <c r="K12" s="5" t="s">
        <v>234</v>
      </c>
      <c r="L12" s="5" t="s">
        <v>235</v>
      </c>
      <c r="M12" s="5" t="s">
        <v>235</v>
      </c>
      <c r="N12" s="4" t="s">
        <v>182</v>
      </c>
    </row>
    <row r="13" customFormat="false" ht="19.5" hidden="false" customHeight="true" outlineLevel="0" collapsed="false">
      <c r="A13" s="3" t="s">
        <v>236</v>
      </c>
      <c r="B13" s="3" t="s">
        <v>36</v>
      </c>
      <c r="C13" s="3" t="s">
        <v>37</v>
      </c>
      <c r="D13" s="3" t="s">
        <v>237</v>
      </c>
      <c r="E13" s="3" t="s">
        <v>38</v>
      </c>
      <c r="F13" s="3" t="s">
        <v>238</v>
      </c>
      <c r="G13" s="3" t="n">
        <v>1</v>
      </c>
      <c r="H13" s="3" t="s">
        <v>186</v>
      </c>
      <c r="I13" s="7" t="n">
        <v>850000</v>
      </c>
      <c r="J13" s="7" t="n">
        <f aca="false">G13*I13</f>
        <v>850000</v>
      </c>
      <c r="K13" s="3" t="s">
        <v>239</v>
      </c>
      <c r="L13" s="3" t="s">
        <v>240</v>
      </c>
      <c r="M13" s="3" t="s">
        <v>241</v>
      </c>
      <c r="N13" s="4" t="s">
        <v>182</v>
      </c>
    </row>
    <row r="14" customFormat="false" ht="19.5" hidden="false" customHeight="true" outlineLevel="0" collapsed="false">
      <c r="A14" s="5" t="s">
        <v>242</v>
      </c>
      <c r="B14" s="5" t="s">
        <v>100</v>
      </c>
      <c r="C14" s="5" t="s">
        <v>101</v>
      </c>
      <c r="D14" s="5" t="s">
        <v>243</v>
      </c>
      <c r="E14" s="5" t="s">
        <v>52</v>
      </c>
      <c r="F14" s="5" t="s">
        <v>102</v>
      </c>
      <c r="G14" s="5" t="n">
        <v>1</v>
      </c>
      <c r="H14" s="5" t="s">
        <v>193</v>
      </c>
      <c r="I14" s="8" t="n">
        <v>240000</v>
      </c>
      <c r="J14" s="8" t="n">
        <f aca="false">G14*I14</f>
        <v>240000</v>
      </c>
      <c r="K14" s="5" t="s">
        <v>244</v>
      </c>
      <c r="L14" s="5" t="s">
        <v>245</v>
      </c>
      <c r="M14" s="5" t="s">
        <v>246</v>
      </c>
      <c r="N14" s="4" t="s">
        <v>182</v>
      </c>
    </row>
    <row r="15" customFormat="false" ht="19.5" hidden="false" customHeight="true" outlineLevel="0" collapsed="false">
      <c r="A15" s="3" t="s">
        <v>247</v>
      </c>
      <c r="B15" s="3" t="s">
        <v>142</v>
      </c>
      <c r="C15" s="3" t="s">
        <v>143</v>
      </c>
      <c r="D15" s="3" t="s">
        <v>248</v>
      </c>
      <c r="E15" s="3" t="s">
        <v>144</v>
      </c>
      <c r="F15" s="3" t="s">
        <v>249</v>
      </c>
      <c r="G15" s="3" t="n">
        <v>12</v>
      </c>
      <c r="H15" s="3" t="s">
        <v>217</v>
      </c>
      <c r="I15" s="7" t="n">
        <v>75000</v>
      </c>
      <c r="J15" s="7" t="n">
        <f aca="false">G15*I15</f>
        <v>900000</v>
      </c>
      <c r="K15" s="3" t="s">
        <v>218</v>
      </c>
      <c r="L15" s="3" t="s">
        <v>250</v>
      </c>
      <c r="M15" s="3" t="s">
        <v>218</v>
      </c>
      <c r="N15" s="9" t="s">
        <v>251</v>
      </c>
    </row>
    <row r="16" customFormat="false" ht="19.5" hidden="false" customHeight="true" outlineLevel="0" collapsed="false">
      <c r="A16" s="5" t="s">
        <v>252</v>
      </c>
      <c r="B16" s="5" t="s">
        <v>19</v>
      </c>
      <c r="C16" s="5" t="s">
        <v>20</v>
      </c>
      <c r="D16" s="5" t="s">
        <v>253</v>
      </c>
      <c r="E16" s="5" t="s">
        <v>21</v>
      </c>
      <c r="F16" s="5" t="s">
        <v>254</v>
      </c>
      <c r="G16" s="5" t="n">
        <v>200</v>
      </c>
      <c r="H16" s="5" t="s">
        <v>178</v>
      </c>
      <c r="I16" s="8" t="n">
        <v>58000</v>
      </c>
      <c r="J16" s="8" t="n">
        <f aca="false">G16*I16</f>
        <v>11600000</v>
      </c>
      <c r="K16" s="5" t="s">
        <v>255</v>
      </c>
      <c r="L16" s="5" t="s">
        <v>256</v>
      </c>
      <c r="M16" s="5" t="s">
        <v>257</v>
      </c>
      <c r="N16" s="4" t="s">
        <v>182</v>
      </c>
    </row>
    <row r="17" customFormat="false" ht="19.5" hidden="false" customHeight="true" outlineLevel="0" collapsed="false">
      <c r="A17" s="3" t="s">
        <v>258</v>
      </c>
      <c r="B17" s="3" t="s">
        <v>120</v>
      </c>
      <c r="C17" s="3" t="s">
        <v>121</v>
      </c>
      <c r="D17" s="3" t="s">
        <v>259</v>
      </c>
      <c r="E17" s="3" t="s">
        <v>122</v>
      </c>
      <c r="F17" s="3" t="s">
        <v>260</v>
      </c>
      <c r="G17" s="3" t="n">
        <v>100</v>
      </c>
      <c r="H17" s="3" t="s">
        <v>227</v>
      </c>
      <c r="I17" s="7" t="n">
        <v>3200</v>
      </c>
      <c r="J17" s="7" t="n">
        <f aca="false">G17*I17</f>
        <v>320000</v>
      </c>
      <c r="K17" s="3" t="s">
        <v>241</v>
      </c>
      <c r="L17" s="3" t="s">
        <v>261</v>
      </c>
      <c r="M17" s="3" t="s">
        <v>262</v>
      </c>
      <c r="N17" s="4" t="s">
        <v>182</v>
      </c>
    </row>
    <row r="18" customFormat="false" ht="19.5" hidden="false" customHeight="true" outlineLevel="0" collapsed="false">
      <c r="A18" s="5" t="s">
        <v>263</v>
      </c>
      <c r="B18" s="5" t="s">
        <v>76</v>
      </c>
      <c r="C18" s="5" t="s">
        <v>77</v>
      </c>
      <c r="D18" s="5" t="s">
        <v>264</v>
      </c>
      <c r="E18" s="5" t="s">
        <v>78</v>
      </c>
      <c r="F18" s="5" t="s">
        <v>265</v>
      </c>
      <c r="G18" s="5" t="n">
        <v>150</v>
      </c>
      <c r="H18" s="5" t="s">
        <v>205</v>
      </c>
      <c r="I18" s="8" t="n">
        <v>920</v>
      </c>
      <c r="J18" s="8" t="n">
        <f aca="false">G18*I18</f>
        <v>138000</v>
      </c>
      <c r="K18" s="5" t="s">
        <v>256</v>
      </c>
      <c r="L18" s="5" t="s">
        <v>266</v>
      </c>
      <c r="M18" s="5" t="s">
        <v>267</v>
      </c>
      <c r="N18" s="4" t="s">
        <v>182</v>
      </c>
    </row>
    <row r="19" customFormat="false" ht="19.5" hidden="false" customHeight="true" outlineLevel="0" collapsed="false">
      <c r="A19" s="3" t="s">
        <v>268</v>
      </c>
      <c r="B19" s="3" t="s">
        <v>88</v>
      </c>
      <c r="C19" s="3" t="s">
        <v>89</v>
      </c>
      <c r="D19" s="3" t="s">
        <v>269</v>
      </c>
      <c r="E19" s="3" t="s">
        <v>90</v>
      </c>
      <c r="F19" s="3" t="s">
        <v>270</v>
      </c>
      <c r="G19" s="3" t="n">
        <v>3</v>
      </c>
      <c r="H19" s="3" t="s">
        <v>217</v>
      </c>
      <c r="I19" s="7" t="n">
        <v>220000</v>
      </c>
      <c r="J19" s="7" t="n">
        <f aca="false">G19*I19</f>
        <v>660000</v>
      </c>
      <c r="K19" s="3" t="s">
        <v>266</v>
      </c>
      <c r="L19" s="3" t="s">
        <v>271</v>
      </c>
      <c r="M19" s="3" t="s">
        <v>271</v>
      </c>
      <c r="N19" s="4" t="s">
        <v>182</v>
      </c>
    </row>
    <row r="20" customFormat="false" ht="19.5" hidden="false" customHeight="true" outlineLevel="0" collapsed="false">
      <c r="A20" s="5" t="s">
        <v>272</v>
      </c>
      <c r="B20" s="5" t="s">
        <v>63</v>
      </c>
      <c r="C20" s="5" t="s">
        <v>64</v>
      </c>
      <c r="D20" s="5" t="s">
        <v>273</v>
      </c>
      <c r="E20" s="5" t="s">
        <v>65</v>
      </c>
      <c r="F20" s="5" t="s">
        <v>274</v>
      </c>
      <c r="G20" s="5" t="n">
        <v>150</v>
      </c>
      <c r="H20" s="5" t="s">
        <v>199</v>
      </c>
      <c r="I20" s="8" t="n">
        <v>2800</v>
      </c>
      <c r="J20" s="8" t="n">
        <f aca="false">G20*I20</f>
        <v>420000</v>
      </c>
      <c r="K20" s="5" t="s">
        <v>275</v>
      </c>
      <c r="L20" s="5" t="s">
        <v>276</v>
      </c>
      <c r="M20" s="5" t="s">
        <v>277</v>
      </c>
      <c r="N20" s="4" t="s">
        <v>182</v>
      </c>
    </row>
    <row r="21" customFormat="false" ht="19.5" hidden="false" customHeight="true" outlineLevel="0" collapsed="false">
      <c r="A21" s="3" t="s">
        <v>278</v>
      </c>
      <c r="B21" s="3" t="s">
        <v>19</v>
      </c>
      <c r="C21" s="3" t="s">
        <v>20</v>
      </c>
      <c r="D21" s="3" t="s">
        <v>279</v>
      </c>
      <c r="E21" s="3" t="s">
        <v>21</v>
      </c>
      <c r="F21" s="3" t="s">
        <v>280</v>
      </c>
      <c r="G21" s="3" t="n">
        <v>600</v>
      </c>
      <c r="H21" s="3" t="s">
        <v>178</v>
      </c>
      <c r="I21" s="7" t="n">
        <v>54000</v>
      </c>
      <c r="J21" s="7" t="n">
        <f aca="false">G21*I21</f>
        <v>32400000</v>
      </c>
      <c r="K21" s="3" t="s">
        <v>281</v>
      </c>
      <c r="L21" s="3" t="s">
        <v>282</v>
      </c>
      <c r="M21" s="3" t="s">
        <v>283</v>
      </c>
      <c r="N21" s="4" t="s">
        <v>182</v>
      </c>
    </row>
    <row r="22" customFormat="false" ht="19.5" hidden="false" customHeight="true" outlineLevel="0" collapsed="false">
      <c r="A22" s="5" t="s">
        <v>284</v>
      </c>
      <c r="B22" s="5" t="s">
        <v>130</v>
      </c>
      <c r="C22" s="5" t="s">
        <v>131</v>
      </c>
      <c r="D22" s="5" t="s">
        <v>285</v>
      </c>
      <c r="E22" s="5" t="s">
        <v>132</v>
      </c>
      <c r="F22" s="5" t="s">
        <v>286</v>
      </c>
      <c r="G22" s="5" t="n">
        <v>10</v>
      </c>
      <c r="H22" s="5" t="s">
        <v>199</v>
      </c>
      <c r="I22" s="8" t="n">
        <v>95000</v>
      </c>
      <c r="J22" s="8" t="n">
        <f aca="false">G22*I22</f>
        <v>950000</v>
      </c>
      <c r="K22" s="5" t="s">
        <v>287</v>
      </c>
      <c r="L22" s="5" t="s">
        <v>288</v>
      </c>
      <c r="M22" s="5" t="s">
        <v>289</v>
      </c>
      <c r="N22" s="4" t="s">
        <v>182</v>
      </c>
    </row>
    <row r="23" customFormat="false" ht="19.5" hidden="false" customHeight="true" outlineLevel="0" collapsed="false">
      <c r="A23" s="3" t="s">
        <v>290</v>
      </c>
      <c r="B23" s="3" t="s">
        <v>50</v>
      </c>
      <c r="C23" s="3" t="s">
        <v>51</v>
      </c>
      <c r="D23" s="3" t="s">
        <v>291</v>
      </c>
      <c r="E23" s="3" t="s">
        <v>52</v>
      </c>
      <c r="F23" s="3" t="s">
        <v>192</v>
      </c>
      <c r="G23" s="3" t="n">
        <v>1</v>
      </c>
      <c r="H23" s="3" t="s">
        <v>193</v>
      </c>
      <c r="I23" s="7" t="n">
        <v>340000</v>
      </c>
      <c r="J23" s="7" t="n">
        <f aca="false">G23*I23</f>
        <v>340000</v>
      </c>
      <c r="K23" s="3" t="s">
        <v>292</v>
      </c>
      <c r="L23" s="3" t="s">
        <v>293</v>
      </c>
      <c r="M23" s="3" t="s">
        <v>293</v>
      </c>
      <c r="N23" s="4" t="s">
        <v>182</v>
      </c>
    </row>
    <row r="24" customFormat="false" ht="19.5" hidden="false" customHeight="true" outlineLevel="0" collapsed="false">
      <c r="A24" s="5" t="s">
        <v>294</v>
      </c>
      <c r="B24" s="5" t="s">
        <v>36</v>
      </c>
      <c r="C24" s="5" t="s">
        <v>37</v>
      </c>
      <c r="D24" s="5" t="s">
        <v>295</v>
      </c>
      <c r="E24" s="5" t="s">
        <v>38</v>
      </c>
      <c r="F24" s="5" t="s">
        <v>296</v>
      </c>
      <c r="G24" s="5" t="n">
        <v>1</v>
      </c>
      <c r="H24" s="5" t="s">
        <v>186</v>
      </c>
      <c r="I24" s="8" t="n">
        <v>2200000</v>
      </c>
      <c r="J24" s="8" t="n">
        <f aca="false">G24*I24</f>
        <v>2200000</v>
      </c>
      <c r="K24" s="5" t="s">
        <v>297</v>
      </c>
      <c r="L24" s="5" t="s">
        <v>298</v>
      </c>
      <c r="M24" s="5"/>
      <c r="N24" s="10" t="s">
        <v>299</v>
      </c>
    </row>
    <row r="25" customFormat="false" ht="19.5" hidden="false" customHeight="true" outlineLevel="0" collapsed="false">
      <c r="A25" s="3" t="s">
        <v>300</v>
      </c>
      <c r="B25" s="3" t="s">
        <v>109</v>
      </c>
      <c r="C25" s="3" t="s">
        <v>110</v>
      </c>
      <c r="D25" s="3" t="s">
        <v>301</v>
      </c>
      <c r="E25" s="3" t="s">
        <v>78</v>
      </c>
      <c r="F25" s="3" t="s">
        <v>302</v>
      </c>
      <c r="G25" s="3" t="n">
        <v>30</v>
      </c>
      <c r="H25" s="3" t="s">
        <v>227</v>
      </c>
      <c r="I25" s="7" t="n">
        <v>18000</v>
      </c>
      <c r="J25" s="7" t="n">
        <f aca="false">G25*I25</f>
        <v>540000</v>
      </c>
      <c r="K25" s="3" t="s">
        <v>303</v>
      </c>
      <c r="L25" s="3" t="s">
        <v>304</v>
      </c>
      <c r="M25" s="3" t="s">
        <v>305</v>
      </c>
      <c r="N25" s="4" t="s">
        <v>182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4"/>
  </cols>
  <sheetData>
    <row r="1" customFormat="false" ht="36" hidden="false" customHeight="true" outlineLevel="0" collapsed="false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307</v>
      </c>
      <c r="E2" s="2" t="s">
        <v>308</v>
      </c>
      <c r="F2" s="2" t="s">
        <v>309</v>
      </c>
      <c r="G2" s="2" t="s">
        <v>310</v>
      </c>
      <c r="H2" s="2" t="s">
        <v>311</v>
      </c>
      <c r="I2" s="2" t="s">
        <v>312</v>
      </c>
      <c r="J2" s="2" t="s">
        <v>313</v>
      </c>
      <c r="K2" s="2" t="s">
        <v>314</v>
      </c>
      <c r="L2" s="2" t="s">
        <v>315</v>
      </c>
      <c r="M2" s="2" t="s">
        <v>316</v>
      </c>
      <c r="N2" s="2" t="s">
        <v>317</v>
      </c>
      <c r="O2" s="2" t="s">
        <v>318</v>
      </c>
    </row>
    <row r="3" customFormat="false" ht="19.5" hidden="false" customHeight="true" outlineLevel="0" collapsed="false">
      <c r="A3" s="3" t="s">
        <v>19</v>
      </c>
      <c r="B3" s="3" t="s">
        <v>20</v>
      </c>
      <c r="C3" s="3" t="s">
        <v>21</v>
      </c>
      <c r="D3" s="11" t="n">
        <v>96.2</v>
      </c>
      <c r="E3" s="3" t="n">
        <v>8.5</v>
      </c>
      <c r="F3" s="3" t="n">
        <v>7.8</v>
      </c>
      <c r="G3" s="11" t="n">
        <v>0.8</v>
      </c>
      <c r="H3" s="3" t="n">
        <v>4</v>
      </c>
      <c r="I3" s="3" t="n">
        <v>9.1</v>
      </c>
      <c r="J3" s="3" t="n">
        <v>8</v>
      </c>
      <c r="K3" s="3" t="n">
        <v>8</v>
      </c>
      <c r="L3" s="3" t="n">
        <v>0</v>
      </c>
      <c r="M3" s="3" t="n">
        <v>1.2</v>
      </c>
      <c r="N3" s="4" t="s">
        <v>319</v>
      </c>
      <c r="O3" s="3" t="n">
        <f aca="false">ROUND(D3*0.3+E3*10*0.25+F3*10*0.2+(10-G3*10)*0.1+MAX(0,(10-H3/24))*0.05+I3*10*0.1,1)</f>
        <v>75.5</v>
      </c>
    </row>
    <row r="4" customFormat="false" ht="19.5" hidden="false" customHeight="true" outlineLevel="0" collapsed="false">
      <c r="A4" s="5" t="s">
        <v>36</v>
      </c>
      <c r="B4" s="5" t="s">
        <v>37</v>
      </c>
      <c r="C4" s="5" t="s">
        <v>38</v>
      </c>
      <c r="D4" s="12" t="n">
        <v>88</v>
      </c>
      <c r="E4" s="5" t="n">
        <v>9.2</v>
      </c>
      <c r="F4" s="5" t="n">
        <v>7.2</v>
      </c>
      <c r="G4" s="12" t="n">
        <v>0.2</v>
      </c>
      <c r="H4" s="5" t="n">
        <v>6</v>
      </c>
      <c r="I4" s="5" t="n">
        <v>9.5</v>
      </c>
      <c r="J4" s="5" t="n">
        <v>4</v>
      </c>
      <c r="K4" s="5" t="n">
        <v>3</v>
      </c>
      <c r="L4" s="5" t="n">
        <v>1</v>
      </c>
      <c r="M4" s="5" t="n">
        <v>5</v>
      </c>
      <c r="N4" s="4" t="s">
        <v>319</v>
      </c>
      <c r="O4" s="5" t="n">
        <f aca="false">ROUND(D4*0.3+E4*10*0.25+F4*10*0.2+(10-G4*10)*0.1+MAX(0,(10-H4/24))*0.05+I4*10*0.1,1)</f>
        <v>74.6</v>
      </c>
    </row>
    <row r="5" customFormat="false" ht="19.5" hidden="false" customHeight="true" outlineLevel="0" collapsed="false">
      <c r="A5" s="3" t="s">
        <v>50</v>
      </c>
      <c r="B5" s="3" t="s">
        <v>51</v>
      </c>
      <c r="C5" s="3" t="s">
        <v>52</v>
      </c>
      <c r="D5" s="11" t="n">
        <v>99.1</v>
      </c>
      <c r="E5" s="3" t="n">
        <v>8.8</v>
      </c>
      <c r="F5" s="3" t="n">
        <v>8.5</v>
      </c>
      <c r="G5" s="11" t="n">
        <v>0.1</v>
      </c>
      <c r="H5" s="3" t="n">
        <v>2</v>
      </c>
      <c r="I5" s="3" t="n">
        <v>8.9</v>
      </c>
      <c r="J5" s="3" t="n">
        <v>5</v>
      </c>
      <c r="K5" s="3" t="n">
        <v>5</v>
      </c>
      <c r="L5" s="3" t="n">
        <v>0</v>
      </c>
      <c r="M5" s="3" t="n">
        <v>0.5</v>
      </c>
      <c r="N5" s="4" t="s">
        <v>319</v>
      </c>
      <c r="O5" s="3" t="n">
        <f aca="false">ROUND(D5*0.3+E5*10*0.25+F5*10*0.2+(10-G5*10)*0.1+MAX(0,(10-H5/24))*0.05+I5*10*0.1,1)</f>
        <v>79</v>
      </c>
    </row>
    <row r="6" customFormat="false" ht="19.5" hidden="false" customHeight="true" outlineLevel="0" collapsed="false">
      <c r="A6" s="5" t="s">
        <v>63</v>
      </c>
      <c r="B6" s="5" t="s">
        <v>64</v>
      </c>
      <c r="C6" s="5" t="s">
        <v>65</v>
      </c>
      <c r="D6" s="12" t="n">
        <v>82.5</v>
      </c>
      <c r="E6" s="5" t="n">
        <v>7.9</v>
      </c>
      <c r="F6" s="5" t="n">
        <v>8.1</v>
      </c>
      <c r="G6" s="12" t="n">
        <v>1.5</v>
      </c>
      <c r="H6" s="5" t="n">
        <v>8</v>
      </c>
      <c r="I6" s="5" t="n">
        <v>8.2</v>
      </c>
      <c r="J6" s="5" t="n">
        <v>3</v>
      </c>
      <c r="K6" s="5" t="n">
        <v>3</v>
      </c>
      <c r="L6" s="5" t="n">
        <v>1</v>
      </c>
      <c r="M6" s="5" t="n">
        <v>3.8</v>
      </c>
      <c r="N6" s="10" t="s">
        <v>320</v>
      </c>
      <c r="O6" s="5" t="n">
        <f aca="false">ROUND(D6*0.3+E6*10*0.25+F6*10*0.2+(10-G6*10)*0.1+MAX(0,(10-H6/24))*0.05+I6*10*0.1,1)</f>
        <v>68.9</v>
      </c>
    </row>
    <row r="7" customFormat="false" ht="19.5" hidden="false" customHeight="true" outlineLevel="0" collapsed="false">
      <c r="A7" s="3" t="s">
        <v>76</v>
      </c>
      <c r="B7" s="3" t="s">
        <v>77</v>
      </c>
      <c r="C7" s="3" t="s">
        <v>78</v>
      </c>
      <c r="D7" s="11" t="n">
        <v>94</v>
      </c>
      <c r="E7" s="3" t="n">
        <v>8.3</v>
      </c>
      <c r="F7" s="3" t="n">
        <v>9</v>
      </c>
      <c r="G7" s="11" t="n">
        <v>0.5</v>
      </c>
      <c r="H7" s="3" t="n">
        <v>5</v>
      </c>
      <c r="I7" s="3" t="n">
        <v>8.7</v>
      </c>
      <c r="J7" s="3" t="n">
        <v>3</v>
      </c>
      <c r="K7" s="3" t="n">
        <v>3</v>
      </c>
      <c r="L7" s="3" t="n">
        <v>0</v>
      </c>
      <c r="M7" s="3" t="n">
        <v>1</v>
      </c>
      <c r="N7" s="4" t="s">
        <v>319</v>
      </c>
      <c r="O7" s="3" t="n">
        <f aca="false">ROUND(D7*0.3+E7*10*0.25+F7*10*0.2+(10-G7*10)*0.1+MAX(0,(10-H7/24))*0.05+I7*10*0.1,1)</f>
        <v>76.6</v>
      </c>
    </row>
    <row r="8" customFormat="false" ht="19.5" hidden="false" customHeight="true" outlineLevel="0" collapsed="false">
      <c r="A8" s="5" t="s">
        <v>88</v>
      </c>
      <c r="B8" s="5" t="s">
        <v>89</v>
      </c>
      <c r="C8" s="5" t="s">
        <v>90</v>
      </c>
      <c r="D8" s="12" t="n">
        <v>100</v>
      </c>
      <c r="E8" s="5" t="n">
        <v>8.6</v>
      </c>
      <c r="F8" s="5" t="n">
        <v>7.5</v>
      </c>
      <c r="G8" s="12" t="n">
        <v>0</v>
      </c>
      <c r="H8" s="5" t="n">
        <v>3</v>
      </c>
      <c r="I8" s="5" t="n">
        <v>9</v>
      </c>
      <c r="J8" s="5" t="n">
        <v>3</v>
      </c>
      <c r="K8" s="5" t="n">
        <v>3</v>
      </c>
      <c r="L8" s="5" t="n">
        <v>0</v>
      </c>
      <c r="M8" s="5" t="n">
        <v>0</v>
      </c>
      <c r="N8" s="4" t="s">
        <v>319</v>
      </c>
      <c r="O8" s="5" t="n">
        <f aca="false">ROUND(D8*0.3+E8*10*0.25+F8*10*0.2+(10-G8*10)*0.1+MAX(0,(10-H8/24))*0.05+I8*10*0.1,1)</f>
        <v>77</v>
      </c>
    </row>
    <row r="9" customFormat="false" ht="19.5" hidden="false" customHeight="true" outlineLevel="0" collapsed="false">
      <c r="A9" s="3" t="s">
        <v>100</v>
      </c>
      <c r="B9" s="3" t="s">
        <v>101</v>
      </c>
      <c r="C9" s="3" t="s">
        <v>52</v>
      </c>
      <c r="D9" s="11" t="n">
        <v>75</v>
      </c>
      <c r="E9" s="3" t="n">
        <v>7.2</v>
      </c>
      <c r="F9" s="3" t="n">
        <v>8.8</v>
      </c>
      <c r="G9" s="11" t="n">
        <v>0.8</v>
      </c>
      <c r="H9" s="3" t="n">
        <v>10</v>
      </c>
      <c r="I9" s="3" t="n">
        <v>7.8</v>
      </c>
      <c r="J9" s="3" t="n">
        <v>2</v>
      </c>
      <c r="K9" s="3" t="n">
        <v>1</v>
      </c>
      <c r="L9" s="3" t="n">
        <v>1</v>
      </c>
      <c r="M9" s="3" t="n">
        <v>8.5</v>
      </c>
      <c r="N9" s="6" t="s">
        <v>321</v>
      </c>
      <c r="O9" s="3" t="n">
        <f aca="false">ROUND(D9*0.3+E9*10*0.25+F9*10*0.2+(10-G9*10)*0.1+MAX(0,(10-H9/24))*0.05+I9*10*0.1,1)</f>
        <v>66.6</v>
      </c>
    </row>
    <row r="10" customFormat="false" ht="19.5" hidden="false" customHeight="true" outlineLevel="0" collapsed="false">
      <c r="A10" s="5" t="s">
        <v>109</v>
      </c>
      <c r="B10" s="5" t="s">
        <v>110</v>
      </c>
      <c r="C10" s="5" t="s">
        <v>78</v>
      </c>
      <c r="D10" s="12" t="n">
        <v>97.5</v>
      </c>
      <c r="E10" s="5" t="n">
        <v>9</v>
      </c>
      <c r="F10" s="5" t="n">
        <v>7</v>
      </c>
      <c r="G10" s="12" t="n">
        <v>0.3</v>
      </c>
      <c r="H10" s="5" t="n">
        <v>4</v>
      </c>
      <c r="I10" s="5" t="n">
        <v>9.3</v>
      </c>
      <c r="J10" s="5" t="n">
        <v>3</v>
      </c>
      <c r="K10" s="5" t="n">
        <v>3</v>
      </c>
      <c r="L10" s="5" t="n">
        <v>0</v>
      </c>
      <c r="M10" s="5" t="n">
        <v>0.8</v>
      </c>
      <c r="N10" s="4" t="s">
        <v>319</v>
      </c>
      <c r="O10" s="5" t="n">
        <f aca="false">ROUND(D10*0.3+E10*10*0.25+F10*10*0.2+(10-G10*10)*0.1+MAX(0,(10-H10/24))*0.05+I10*10*0.1,1)</f>
        <v>76.2</v>
      </c>
    </row>
    <row r="11" customFormat="false" ht="19.5" hidden="false" customHeight="true" outlineLevel="0" collapsed="false">
      <c r="A11" s="3" t="s">
        <v>120</v>
      </c>
      <c r="B11" s="3" t="s">
        <v>121</v>
      </c>
      <c r="C11" s="3" t="s">
        <v>122</v>
      </c>
      <c r="D11" s="11" t="n">
        <v>92</v>
      </c>
      <c r="E11" s="3" t="n">
        <v>8.1</v>
      </c>
      <c r="F11" s="3" t="n">
        <v>8.4</v>
      </c>
      <c r="G11" s="11" t="n">
        <v>0.4</v>
      </c>
      <c r="H11" s="3" t="n">
        <v>6</v>
      </c>
      <c r="I11" s="3" t="n">
        <v>8.5</v>
      </c>
      <c r="J11" s="3" t="n">
        <v>2</v>
      </c>
      <c r="K11" s="3" t="n">
        <v>2</v>
      </c>
      <c r="L11" s="3" t="n">
        <v>0</v>
      </c>
      <c r="M11" s="3" t="n">
        <v>1.5</v>
      </c>
      <c r="N11" s="4" t="s">
        <v>319</v>
      </c>
      <c r="O11" s="3" t="n">
        <f aca="false">ROUND(D11*0.3+E11*10*0.25+F11*10*0.2+(10-G11*10)*0.1+MAX(0,(10-H11/24))*0.05+I11*10*0.1,1)</f>
        <v>74.2</v>
      </c>
    </row>
    <row r="12" customFormat="false" ht="19.5" hidden="false" customHeight="true" outlineLevel="0" collapsed="false">
      <c r="A12" s="5" t="s">
        <v>130</v>
      </c>
      <c r="B12" s="5" t="s">
        <v>131</v>
      </c>
      <c r="C12" s="5" t="s">
        <v>132</v>
      </c>
      <c r="D12" s="12" t="n">
        <v>91.7</v>
      </c>
      <c r="E12" s="5" t="n">
        <v>8.9</v>
      </c>
      <c r="F12" s="5" t="n">
        <v>6.8</v>
      </c>
      <c r="G12" s="12" t="n">
        <v>0.5</v>
      </c>
      <c r="H12" s="5" t="n">
        <v>5</v>
      </c>
      <c r="I12" s="5" t="n">
        <v>9</v>
      </c>
      <c r="J12" s="5" t="n">
        <v>3</v>
      </c>
      <c r="K12" s="5" t="n">
        <v>3</v>
      </c>
      <c r="L12" s="5" t="n">
        <v>0</v>
      </c>
      <c r="M12" s="5" t="n">
        <v>2</v>
      </c>
      <c r="N12" s="4" t="s">
        <v>319</v>
      </c>
      <c r="O12" s="5" t="n">
        <f aca="false">ROUND(D12*0.3+E12*10*0.25+F12*10*0.2+(10-G12*10)*0.1+MAX(0,(10-H12/24))*0.05+I12*10*0.1,1)</f>
        <v>73.3</v>
      </c>
    </row>
    <row r="13" customFormat="false" ht="19.5" hidden="false" customHeight="true" outlineLevel="0" collapsed="false">
      <c r="A13" s="3" t="s">
        <v>142</v>
      </c>
      <c r="B13" s="3" t="s">
        <v>143</v>
      </c>
      <c r="C13" s="3" t="s">
        <v>144</v>
      </c>
      <c r="D13" s="11" t="n">
        <v>99.9</v>
      </c>
      <c r="E13" s="3" t="n">
        <v>9.5</v>
      </c>
      <c r="F13" s="3" t="n">
        <v>7.5</v>
      </c>
      <c r="G13" s="11" t="n">
        <v>0</v>
      </c>
      <c r="H13" s="3" t="n">
        <v>1</v>
      </c>
      <c r="I13" s="3" t="n">
        <v>9.8</v>
      </c>
      <c r="J13" s="3" t="n">
        <v>1</v>
      </c>
      <c r="K13" s="3" t="n">
        <v>1</v>
      </c>
      <c r="L13" s="3" t="n">
        <v>0</v>
      </c>
      <c r="M13" s="3" t="n">
        <v>0</v>
      </c>
      <c r="N13" s="4" t="s">
        <v>319</v>
      </c>
      <c r="O13" s="3" t="n">
        <f aca="false">ROUND(D13*0.3+E13*10*0.25+F13*10*0.2+(10-G13*10)*0.1+MAX(0,(10-H13/24))*0.05+I13*10*0.1,1)</f>
        <v>80</v>
      </c>
    </row>
    <row r="14" customFormat="false" ht="19.5" hidden="false" customHeight="true" outlineLevel="0" collapsed="false">
      <c r="A14" s="5" t="s">
        <v>154</v>
      </c>
      <c r="B14" s="5" t="s">
        <v>155</v>
      </c>
      <c r="C14" s="5" t="s">
        <v>21</v>
      </c>
      <c r="D14" s="12" t="n">
        <v>0</v>
      </c>
      <c r="E14" s="5" t="n">
        <v>0</v>
      </c>
      <c r="F14" s="5" t="n">
        <v>0</v>
      </c>
      <c r="G14" s="12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9" t="s">
        <v>322</v>
      </c>
      <c r="O14" s="5" t="n">
        <f aca="false">ROUND(D14*0.3+E14*10*0.25+F14*10*0.2+(10-G14*10)*0.1+MAX(0,(10-H14/24))*0.05+I14*10*0.1,1)</f>
        <v>1.5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7" min="6" style="0" width="13"/>
    <col collapsed="false" customWidth="true" hidden="false" outlineLevel="0" max="9" min="8" style="0" width="18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36" hidden="false" customHeight="true" outlineLevel="0" collapsed="false">
      <c r="A1" s="1" t="s">
        <v>323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14</v>
      </c>
      <c r="B2" s="2" t="s">
        <v>1</v>
      </c>
      <c r="C2" s="2" t="s">
        <v>2</v>
      </c>
      <c r="D2" s="2" t="s">
        <v>3</v>
      </c>
      <c r="E2" s="2" t="s">
        <v>324</v>
      </c>
      <c r="F2" s="2" t="s">
        <v>325</v>
      </c>
      <c r="G2" s="2" t="s">
        <v>326</v>
      </c>
      <c r="H2" s="2" t="s">
        <v>327</v>
      </c>
      <c r="I2" s="2" t="s">
        <v>328</v>
      </c>
      <c r="J2" s="2" t="s">
        <v>329</v>
      </c>
      <c r="K2" s="2" t="s">
        <v>330</v>
      </c>
      <c r="L2" s="2" t="s">
        <v>331</v>
      </c>
      <c r="M2" s="2" t="s">
        <v>174</v>
      </c>
    </row>
    <row r="3" customFormat="false" ht="19.5" hidden="false" customHeight="true" outlineLevel="0" collapsed="false">
      <c r="A3" s="3" t="s">
        <v>32</v>
      </c>
      <c r="B3" s="3" t="s">
        <v>19</v>
      </c>
      <c r="C3" s="3" t="s">
        <v>20</v>
      </c>
      <c r="D3" s="3" t="s">
        <v>21</v>
      </c>
      <c r="E3" s="3" t="s">
        <v>332</v>
      </c>
      <c r="F3" s="3" t="s">
        <v>211</v>
      </c>
      <c r="G3" s="3" t="s">
        <v>33</v>
      </c>
      <c r="H3" s="7" t="n">
        <v>150000000</v>
      </c>
      <c r="I3" s="3" t="s">
        <v>333</v>
      </c>
      <c r="J3" s="3" t="s">
        <v>334</v>
      </c>
      <c r="K3" s="3" t="s">
        <v>335</v>
      </c>
      <c r="L3" s="3" t="s">
        <v>31</v>
      </c>
      <c r="M3" s="4" t="s">
        <v>251</v>
      </c>
    </row>
    <row r="4" customFormat="false" ht="19.5" hidden="false" customHeight="true" outlineLevel="0" collapsed="false">
      <c r="A4" s="5" t="s">
        <v>47</v>
      </c>
      <c r="B4" s="5" t="s">
        <v>36</v>
      </c>
      <c r="C4" s="5" t="s">
        <v>37</v>
      </c>
      <c r="D4" s="5" t="s">
        <v>38</v>
      </c>
      <c r="E4" s="5" t="s">
        <v>336</v>
      </c>
      <c r="F4" s="5" t="s">
        <v>337</v>
      </c>
      <c r="G4" s="5" t="s">
        <v>48</v>
      </c>
      <c r="H4" s="8" t="n">
        <v>25000000</v>
      </c>
      <c r="I4" s="5" t="s">
        <v>338</v>
      </c>
      <c r="J4" s="5" t="s">
        <v>339</v>
      </c>
      <c r="K4" s="5" t="s">
        <v>340</v>
      </c>
      <c r="L4" s="5" t="s">
        <v>74</v>
      </c>
      <c r="M4" s="4" t="s">
        <v>251</v>
      </c>
    </row>
    <row r="5" customFormat="false" ht="19.5" hidden="false" customHeight="true" outlineLevel="0" collapsed="false">
      <c r="A5" s="3" t="s">
        <v>60</v>
      </c>
      <c r="B5" s="3" t="s">
        <v>50</v>
      </c>
      <c r="C5" s="3" t="s">
        <v>51</v>
      </c>
      <c r="D5" s="3" t="s">
        <v>52</v>
      </c>
      <c r="E5" s="3" t="s">
        <v>341</v>
      </c>
      <c r="F5" s="3" t="s">
        <v>211</v>
      </c>
      <c r="G5" s="3" t="s">
        <v>61</v>
      </c>
      <c r="H5" s="7" t="n">
        <v>5000000</v>
      </c>
      <c r="I5" s="3" t="s">
        <v>342</v>
      </c>
      <c r="J5" s="3" t="s">
        <v>343</v>
      </c>
      <c r="K5" s="3" t="s">
        <v>344</v>
      </c>
      <c r="L5" s="3" t="s">
        <v>31</v>
      </c>
      <c r="M5" s="4" t="s">
        <v>251</v>
      </c>
    </row>
    <row r="6" customFormat="false" ht="19.5" hidden="false" customHeight="true" outlineLevel="0" collapsed="false">
      <c r="A6" s="5" t="s">
        <v>97</v>
      </c>
      <c r="B6" s="5" t="s">
        <v>88</v>
      </c>
      <c r="C6" s="5" t="s">
        <v>89</v>
      </c>
      <c r="D6" s="5" t="s">
        <v>90</v>
      </c>
      <c r="E6" s="5" t="s">
        <v>345</v>
      </c>
      <c r="F6" s="5" t="s">
        <v>206</v>
      </c>
      <c r="G6" s="5" t="s">
        <v>98</v>
      </c>
      <c r="H6" s="8" t="n">
        <v>8000000</v>
      </c>
      <c r="I6" s="5" t="s">
        <v>346</v>
      </c>
      <c r="J6" s="5" t="s">
        <v>347</v>
      </c>
      <c r="K6" s="5" t="s">
        <v>340</v>
      </c>
      <c r="L6" s="5" t="s">
        <v>74</v>
      </c>
      <c r="M6" s="4" t="s">
        <v>251</v>
      </c>
    </row>
    <row r="7" customFormat="false" ht="19.5" hidden="false" customHeight="true" outlineLevel="0" collapsed="false">
      <c r="A7" s="3" t="s">
        <v>117</v>
      </c>
      <c r="B7" s="3" t="s">
        <v>109</v>
      </c>
      <c r="C7" s="3" t="s">
        <v>110</v>
      </c>
      <c r="D7" s="3" t="s">
        <v>78</v>
      </c>
      <c r="E7" s="3" t="s">
        <v>348</v>
      </c>
      <c r="F7" s="3" t="s">
        <v>234</v>
      </c>
      <c r="G7" s="3" t="s">
        <v>118</v>
      </c>
      <c r="H7" s="7" t="n">
        <v>3000000</v>
      </c>
      <c r="I7" s="3" t="s">
        <v>349</v>
      </c>
      <c r="J7" s="3" t="s">
        <v>350</v>
      </c>
      <c r="K7" s="3" t="s">
        <v>335</v>
      </c>
      <c r="L7" s="3" t="s">
        <v>74</v>
      </c>
      <c r="M7" s="4" t="s">
        <v>251</v>
      </c>
    </row>
    <row r="8" customFormat="false" ht="19.5" hidden="false" customHeight="true" outlineLevel="0" collapsed="false">
      <c r="A8" s="5" t="s">
        <v>139</v>
      </c>
      <c r="B8" s="5" t="s">
        <v>130</v>
      </c>
      <c r="C8" s="5" t="s">
        <v>131</v>
      </c>
      <c r="D8" s="5" t="s">
        <v>132</v>
      </c>
      <c r="E8" s="5" t="s">
        <v>332</v>
      </c>
      <c r="F8" s="5" t="s">
        <v>244</v>
      </c>
      <c r="G8" s="5" t="s">
        <v>140</v>
      </c>
      <c r="H8" s="8" t="n">
        <v>20000000</v>
      </c>
      <c r="I8" s="5" t="s">
        <v>351</v>
      </c>
      <c r="J8" s="5" t="s">
        <v>352</v>
      </c>
      <c r="K8" s="5" t="s">
        <v>340</v>
      </c>
      <c r="L8" s="5" t="s">
        <v>31</v>
      </c>
      <c r="M8" s="4" t="s">
        <v>251</v>
      </c>
    </row>
    <row r="9" customFormat="false" ht="19.5" hidden="false" customHeight="true" outlineLevel="0" collapsed="false">
      <c r="A9" s="3" t="s">
        <v>151</v>
      </c>
      <c r="B9" s="3" t="s">
        <v>142</v>
      </c>
      <c r="C9" s="3" t="s">
        <v>143</v>
      </c>
      <c r="D9" s="3" t="s">
        <v>144</v>
      </c>
      <c r="E9" s="3" t="s">
        <v>353</v>
      </c>
      <c r="F9" s="3" t="s">
        <v>218</v>
      </c>
      <c r="G9" s="3" t="s">
        <v>152</v>
      </c>
      <c r="H9" s="7" t="n">
        <v>2700000</v>
      </c>
      <c r="I9" s="3" t="s">
        <v>354</v>
      </c>
      <c r="J9" s="3" t="s">
        <v>355</v>
      </c>
      <c r="K9" s="3" t="s">
        <v>335</v>
      </c>
      <c r="L9" s="3" t="s">
        <v>31</v>
      </c>
      <c r="M9" s="4" t="s">
        <v>251</v>
      </c>
    </row>
    <row r="10" customFormat="false" ht="19.5" hidden="false" customHeight="true" outlineLevel="0" collapsed="false">
      <c r="A10" s="5" t="s">
        <v>85</v>
      </c>
      <c r="B10" s="5" t="s">
        <v>76</v>
      </c>
      <c r="C10" s="5" t="s">
        <v>77</v>
      </c>
      <c r="D10" s="5" t="s">
        <v>78</v>
      </c>
      <c r="E10" s="5" t="s">
        <v>332</v>
      </c>
      <c r="F10" s="5" t="s">
        <v>356</v>
      </c>
      <c r="G10" s="5" t="s">
        <v>86</v>
      </c>
      <c r="H10" s="8" t="n">
        <v>2000000</v>
      </c>
      <c r="I10" s="5" t="s">
        <v>357</v>
      </c>
      <c r="J10" s="5" t="s">
        <v>358</v>
      </c>
      <c r="K10" s="5" t="s">
        <v>335</v>
      </c>
      <c r="L10" s="5" t="s">
        <v>74</v>
      </c>
      <c r="M10" s="10" t="s">
        <v>359</v>
      </c>
    </row>
    <row r="11" customFormat="false" ht="19.5" hidden="false" customHeight="true" outlineLevel="0" collapsed="false">
      <c r="A11" s="3" t="s">
        <v>360</v>
      </c>
      <c r="B11" s="3" t="s">
        <v>100</v>
      </c>
      <c r="C11" s="3" t="s">
        <v>101</v>
      </c>
      <c r="D11" s="3" t="s">
        <v>52</v>
      </c>
      <c r="E11" s="3" t="s">
        <v>361</v>
      </c>
      <c r="F11" s="3" t="s">
        <v>362</v>
      </c>
      <c r="G11" s="3" t="s">
        <v>363</v>
      </c>
      <c r="H11" s="7" t="n">
        <v>1500000</v>
      </c>
      <c r="I11" s="3" t="s">
        <v>364</v>
      </c>
      <c r="J11" s="3" t="s">
        <v>365</v>
      </c>
      <c r="K11" s="3" t="s">
        <v>335</v>
      </c>
      <c r="L11" s="3" t="s">
        <v>74</v>
      </c>
      <c r="M11" s="6" t="s">
        <v>366</v>
      </c>
    </row>
    <row r="12" customFormat="false" ht="19.5" hidden="false" customHeight="true" outlineLevel="0" collapsed="false">
      <c r="A12" s="5" t="s">
        <v>367</v>
      </c>
      <c r="B12" s="5" t="s">
        <v>63</v>
      </c>
      <c r="C12" s="5" t="s">
        <v>64</v>
      </c>
      <c r="D12" s="5" t="s">
        <v>65</v>
      </c>
      <c r="E12" s="5" t="s">
        <v>348</v>
      </c>
      <c r="F12" s="5" t="s">
        <v>368</v>
      </c>
      <c r="G12" s="5" t="s">
        <v>369</v>
      </c>
      <c r="H12" s="8" t="n">
        <v>5000000</v>
      </c>
      <c r="I12" s="5" t="s">
        <v>370</v>
      </c>
      <c r="J12" s="5" t="s">
        <v>371</v>
      </c>
      <c r="K12" s="5" t="s">
        <v>335</v>
      </c>
      <c r="L12" s="5" t="s">
        <v>74</v>
      </c>
      <c r="M12" s="6" t="s">
        <v>366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36" hidden="false" customHeight="true" outlineLevel="0" collapsed="false">
      <c r="A1" s="1" t="s">
        <v>372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373</v>
      </c>
      <c r="B2" s="2" t="s">
        <v>374</v>
      </c>
      <c r="C2" s="2" t="s">
        <v>3</v>
      </c>
      <c r="D2" s="2" t="s">
        <v>375</v>
      </c>
      <c r="E2" s="2" t="s">
        <v>376</v>
      </c>
      <c r="F2" s="2" t="s">
        <v>377</v>
      </c>
      <c r="G2" s="2" t="s">
        <v>378</v>
      </c>
      <c r="H2" s="2" t="s">
        <v>379</v>
      </c>
      <c r="I2" s="2" t="s">
        <v>380</v>
      </c>
    </row>
    <row r="3" customFormat="false" ht="19.5" hidden="false" customHeight="true" outlineLevel="0" collapsed="false">
      <c r="A3" s="3" t="s">
        <v>381</v>
      </c>
      <c r="B3" s="3" t="s">
        <v>382</v>
      </c>
      <c r="C3" s="3" t="s">
        <v>21</v>
      </c>
      <c r="D3" s="3" t="s">
        <v>19</v>
      </c>
      <c r="E3" s="3" t="s">
        <v>20</v>
      </c>
      <c r="F3" s="3" t="s">
        <v>154</v>
      </c>
      <c r="G3" s="3" t="s">
        <v>155</v>
      </c>
      <c r="H3" s="4" t="s">
        <v>31</v>
      </c>
      <c r="I3" s="3" t="s">
        <v>19</v>
      </c>
    </row>
    <row r="4" customFormat="false" ht="19.5" hidden="false" customHeight="true" outlineLevel="0" collapsed="false">
      <c r="A4" s="5" t="s">
        <v>383</v>
      </c>
      <c r="B4" s="5" t="s">
        <v>384</v>
      </c>
      <c r="C4" s="5" t="s">
        <v>21</v>
      </c>
      <c r="D4" s="5" t="s">
        <v>19</v>
      </c>
      <c r="E4" s="5" t="s">
        <v>20</v>
      </c>
      <c r="F4" s="5"/>
      <c r="G4" s="5" t="s">
        <v>385</v>
      </c>
      <c r="H4" s="4" t="s">
        <v>31</v>
      </c>
      <c r="I4" s="5" t="s">
        <v>19</v>
      </c>
    </row>
    <row r="5" customFormat="false" ht="19.5" hidden="false" customHeight="true" outlineLevel="0" collapsed="false">
      <c r="A5" s="3" t="s">
        <v>386</v>
      </c>
      <c r="B5" s="3" t="s">
        <v>387</v>
      </c>
      <c r="C5" s="3" t="s">
        <v>21</v>
      </c>
      <c r="D5" s="3" t="s">
        <v>19</v>
      </c>
      <c r="E5" s="3" t="s">
        <v>20</v>
      </c>
      <c r="F5" s="3"/>
      <c r="G5" s="3" t="s">
        <v>385</v>
      </c>
      <c r="H5" s="4" t="s">
        <v>31</v>
      </c>
      <c r="I5" s="3" t="s">
        <v>19</v>
      </c>
    </row>
    <row r="6" customFormat="false" ht="19.5" hidden="false" customHeight="true" outlineLevel="0" collapsed="false">
      <c r="A6" s="5" t="s">
        <v>388</v>
      </c>
      <c r="B6" s="5" t="s">
        <v>389</v>
      </c>
      <c r="C6" s="5" t="s">
        <v>65</v>
      </c>
      <c r="D6" s="5" t="s">
        <v>63</v>
      </c>
      <c r="E6" s="5" t="s">
        <v>64</v>
      </c>
      <c r="F6" s="5" t="s">
        <v>130</v>
      </c>
      <c r="G6" s="5" t="s">
        <v>131</v>
      </c>
      <c r="H6" s="6" t="s">
        <v>74</v>
      </c>
      <c r="I6" s="5" t="s">
        <v>63</v>
      </c>
    </row>
    <row r="7" customFormat="false" ht="19.5" hidden="false" customHeight="true" outlineLevel="0" collapsed="false">
      <c r="A7" s="3" t="s">
        <v>390</v>
      </c>
      <c r="B7" s="3" t="s">
        <v>391</v>
      </c>
      <c r="C7" s="3" t="s">
        <v>65</v>
      </c>
      <c r="D7" s="3" t="s">
        <v>63</v>
      </c>
      <c r="E7" s="3" t="s">
        <v>64</v>
      </c>
      <c r="F7" s="3"/>
      <c r="G7" s="3" t="s">
        <v>385</v>
      </c>
      <c r="H7" s="6" t="s">
        <v>74</v>
      </c>
      <c r="I7" s="3" t="s">
        <v>63</v>
      </c>
    </row>
    <row r="8" customFormat="false" ht="19.5" hidden="false" customHeight="true" outlineLevel="0" collapsed="false">
      <c r="A8" s="5" t="s">
        <v>392</v>
      </c>
      <c r="B8" s="5" t="s">
        <v>204</v>
      </c>
      <c r="C8" s="5" t="s">
        <v>78</v>
      </c>
      <c r="D8" s="5" t="s">
        <v>76</v>
      </c>
      <c r="E8" s="5" t="s">
        <v>77</v>
      </c>
      <c r="F8" s="5"/>
      <c r="G8" s="5" t="s">
        <v>385</v>
      </c>
      <c r="H8" s="4" t="s">
        <v>31</v>
      </c>
      <c r="I8" s="5" t="s">
        <v>76</v>
      </c>
    </row>
    <row r="9" customFormat="false" ht="19.5" hidden="false" customHeight="true" outlineLevel="0" collapsed="false">
      <c r="A9" s="3" t="s">
        <v>393</v>
      </c>
      <c r="B9" s="3" t="s">
        <v>265</v>
      </c>
      <c r="C9" s="3" t="s">
        <v>78</v>
      </c>
      <c r="D9" s="3" t="s">
        <v>76</v>
      </c>
      <c r="E9" s="3" t="s">
        <v>77</v>
      </c>
      <c r="F9" s="3"/>
      <c r="G9" s="3" t="s">
        <v>385</v>
      </c>
      <c r="H9" s="4" t="s">
        <v>31</v>
      </c>
      <c r="I9" s="3" t="s">
        <v>76</v>
      </c>
    </row>
    <row r="10" customFormat="false" ht="19.5" hidden="false" customHeight="true" outlineLevel="0" collapsed="false">
      <c r="A10" s="5" t="s">
        <v>394</v>
      </c>
      <c r="B10" s="5" t="s">
        <v>395</v>
      </c>
      <c r="C10" s="5" t="s">
        <v>78</v>
      </c>
      <c r="D10" s="5" t="s">
        <v>109</v>
      </c>
      <c r="E10" s="5" t="s">
        <v>110</v>
      </c>
      <c r="F10" s="5"/>
      <c r="G10" s="5" t="s">
        <v>385</v>
      </c>
      <c r="H10" s="4" t="s">
        <v>31</v>
      </c>
      <c r="I10" s="5" t="s">
        <v>109</v>
      </c>
    </row>
    <row r="11" customFormat="false" ht="19.5" hidden="false" customHeight="true" outlineLevel="0" collapsed="false">
      <c r="A11" s="3" t="s">
        <v>396</v>
      </c>
      <c r="B11" s="3" t="s">
        <v>302</v>
      </c>
      <c r="C11" s="3" t="s">
        <v>78</v>
      </c>
      <c r="D11" s="3" t="s">
        <v>109</v>
      </c>
      <c r="E11" s="3" t="s">
        <v>110</v>
      </c>
      <c r="F11" s="3"/>
      <c r="G11" s="3" t="s">
        <v>385</v>
      </c>
      <c r="H11" s="4" t="s">
        <v>31</v>
      </c>
      <c r="I11" s="3" t="s">
        <v>109</v>
      </c>
    </row>
    <row r="12" customFormat="false" ht="19.5" hidden="false" customHeight="true" outlineLevel="0" collapsed="false">
      <c r="A12" s="5" t="s">
        <v>397</v>
      </c>
      <c r="B12" s="5" t="s">
        <v>260</v>
      </c>
      <c r="C12" s="5" t="s">
        <v>122</v>
      </c>
      <c r="D12" s="5" t="s">
        <v>120</v>
      </c>
      <c r="E12" s="5" t="s">
        <v>121</v>
      </c>
      <c r="F12" s="5"/>
      <c r="G12" s="5" t="s">
        <v>385</v>
      </c>
      <c r="H12" s="6" t="s">
        <v>74</v>
      </c>
      <c r="I12" s="5" t="s">
        <v>120</v>
      </c>
    </row>
    <row r="13" customFormat="false" ht="19.5" hidden="false" customHeight="true" outlineLevel="0" collapsed="false">
      <c r="A13" s="3" t="s">
        <v>398</v>
      </c>
      <c r="B13" s="3" t="s">
        <v>399</v>
      </c>
      <c r="C13" s="3" t="s">
        <v>132</v>
      </c>
      <c r="D13" s="3" t="s">
        <v>130</v>
      </c>
      <c r="E13" s="3" t="s">
        <v>131</v>
      </c>
      <c r="F13" s="3" t="s">
        <v>36</v>
      </c>
      <c r="G13" s="3" t="s">
        <v>37</v>
      </c>
      <c r="H13" s="4" t="s">
        <v>31</v>
      </c>
      <c r="I13" s="3" t="s">
        <v>130</v>
      </c>
    </row>
    <row r="14" customFormat="false" ht="19.5" hidden="false" customHeight="true" outlineLevel="0" collapsed="false">
      <c r="A14" s="5" t="s">
        <v>400</v>
      </c>
      <c r="B14" s="5" t="s">
        <v>286</v>
      </c>
      <c r="C14" s="5" t="s">
        <v>132</v>
      </c>
      <c r="D14" s="5" t="s">
        <v>130</v>
      </c>
      <c r="E14" s="5" t="s">
        <v>131</v>
      </c>
      <c r="F14" s="5"/>
      <c r="G14" s="5" t="s">
        <v>385</v>
      </c>
      <c r="H14" s="4" t="s">
        <v>31</v>
      </c>
      <c r="I14" s="5" t="s">
        <v>130</v>
      </c>
    </row>
    <row r="15" customFormat="false" ht="19.5" hidden="false" customHeight="true" outlineLevel="0" collapsed="false">
      <c r="A15" s="3" t="s">
        <v>401</v>
      </c>
      <c r="B15" s="3" t="s">
        <v>39</v>
      </c>
      <c r="C15" s="3" t="s">
        <v>38</v>
      </c>
      <c r="D15" s="3" t="s">
        <v>36</v>
      </c>
      <c r="E15" s="3" t="s">
        <v>37</v>
      </c>
      <c r="F15" s="3" t="s">
        <v>88</v>
      </c>
      <c r="G15" s="3" t="s">
        <v>89</v>
      </c>
      <c r="H15" s="4" t="s">
        <v>31</v>
      </c>
      <c r="I15" s="3" t="s">
        <v>36</v>
      </c>
    </row>
    <row r="16" customFormat="false" ht="19.5" hidden="false" customHeight="true" outlineLevel="0" collapsed="false">
      <c r="A16" s="5" t="s">
        <v>402</v>
      </c>
      <c r="B16" s="5" t="s">
        <v>192</v>
      </c>
      <c r="C16" s="5" t="s">
        <v>52</v>
      </c>
      <c r="D16" s="5" t="s">
        <v>50</v>
      </c>
      <c r="E16" s="5" t="s">
        <v>51</v>
      </c>
      <c r="F16" s="5" t="s">
        <v>100</v>
      </c>
      <c r="G16" s="5" t="s">
        <v>101</v>
      </c>
      <c r="H16" s="4" t="s">
        <v>31</v>
      </c>
      <c r="I16" s="5" t="s">
        <v>50</v>
      </c>
    </row>
    <row r="17" customFormat="false" ht="19.5" hidden="false" customHeight="true" outlineLevel="0" collapsed="false">
      <c r="A17" s="3" t="s">
        <v>403</v>
      </c>
      <c r="B17" s="3" t="s">
        <v>233</v>
      </c>
      <c r="C17" s="3" t="s">
        <v>52</v>
      </c>
      <c r="D17" s="3" t="s">
        <v>50</v>
      </c>
      <c r="E17" s="3" t="s">
        <v>51</v>
      </c>
      <c r="F17" s="3"/>
      <c r="G17" s="3" t="s">
        <v>385</v>
      </c>
      <c r="H17" s="4" t="s">
        <v>31</v>
      </c>
      <c r="I17" s="3" t="s">
        <v>50</v>
      </c>
    </row>
    <row r="18" customFormat="false" ht="19.5" hidden="false" customHeight="true" outlineLevel="0" collapsed="false">
      <c r="A18" s="5" t="s">
        <v>404</v>
      </c>
      <c r="B18" s="5" t="s">
        <v>216</v>
      </c>
      <c r="C18" s="5" t="s">
        <v>90</v>
      </c>
      <c r="D18" s="5" t="s">
        <v>88</v>
      </c>
      <c r="E18" s="5" t="s">
        <v>89</v>
      </c>
      <c r="F18" s="5"/>
      <c r="G18" s="5" t="s">
        <v>385</v>
      </c>
      <c r="H18" s="4" t="s">
        <v>31</v>
      </c>
      <c r="I18" s="5" t="s">
        <v>88</v>
      </c>
    </row>
    <row r="19" customFormat="false" ht="19.5" hidden="false" customHeight="true" outlineLevel="0" collapsed="false">
      <c r="A19" s="3" t="s">
        <v>405</v>
      </c>
      <c r="B19" s="3" t="s">
        <v>406</v>
      </c>
      <c r="C19" s="3" t="s">
        <v>90</v>
      </c>
      <c r="D19" s="3" t="s">
        <v>88</v>
      </c>
      <c r="E19" s="3" t="s">
        <v>89</v>
      </c>
      <c r="F19" s="3"/>
      <c r="G19" s="3" t="s">
        <v>385</v>
      </c>
      <c r="H19" s="4" t="s">
        <v>31</v>
      </c>
      <c r="I19" s="3" t="s">
        <v>88</v>
      </c>
    </row>
    <row r="20" customFormat="false" ht="19.5" hidden="false" customHeight="true" outlineLevel="0" collapsed="false">
      <c r="A20" s="5" t="s">
        <v>407</v>
      </c>
      <c r="B20" s="5" t="s">
        <v>408</v>
      </c>
      <c r="C20" s="5" t="s">
        <v>144</v>
      </c>
      <c r="D20" s="5" t="s">
        <v>142</v>
      </c>
      <c r="E20" s="5" t="s">
        <v>143</v>
      </c>
      <c r="F20" s="5"/>
      <c r="G20" s="5" t="s">
        <v>385</v>
      </c>
      <c r="H20" s="4" t="s">
        <v>31</v>
      </c>
      <c r="I20" s="5" t="s">
        <v>142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38"/>
  </cols>
  <sheetData>
    <row r="1" customFormat="false" ht="39.75" hidden="false" customHeight="true" outlineLevel="0" collapsed="false">
      <c r="A1" s="1" t="s">
        <v>409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13" t="s">
        <v>410</v>
      </c>
    </row>
    <row r="4" customFormat="false" ht="30" hidden="false" customHeight="true" outlineLevel="0" collapsed="false">
      <c r="A4" s="14" t="s">
        <v>411</v>
      </c>
      <c r="B4" s="14" t="s">
        <v>412</v>
      </c>
      <c r="C4" s="14" t="s">
        <v>413</v>
      </c>
      <c r="D4" s="14" t="s">
        <v>414</v>
      </c>
      <c r="E4" s="14" t="s">
        <v>415</v>
      </c>
      <c r="F4" s="14" t="s">
        <v>416</v>
      </c>
    </row>
    <row r="5" customFormat="false" ht="36" hidden="false" customHeight="true" outlineLevel="0" collapsed="false">
      <c r="A5" s="3" t="s">
        <v>417</v>
      </c>
      <c r="B5" s="3" t="s">
        <v>418</v>
      </c>
      <c r="C5" s="3" t="s">
        <v>1</v>
      </c>
      <c r="D5" s="3" t="s">
        <v>385</v>
      </c>
      <c r="E5" s="3" t="s">
        <v>419</v>
      </c>
      <c r="F5" s="3" t="s">
        <v>420</v>
      </c>
    </row>
    <row r="6" customFormat="false" ht="36" hidden="false" customHeight="true" outlineLevel="0" collapsed="false">
      <c r="A6" s="3" t="s">
        <v>421</v>
      </c>
      <c r="B6" s="3" t="s">
        <v>422</v>
      </c>
      <c r="C6" s="3" t="s">
        <v>164</v>
      </c>
      <c r="D6" s="3" t="s">
        <v>423</v>
      </c>
      <c r="E6" s="3" t="s">
        <v>424</v>
      </c>
      <c r="F6" s="3" t="s">
        <v>425</v>
      </c>
    </row>
    <row r="7" customFormat="false" ht="36" hidden="false" customHeight="true" outlineLevel="0" collapsed="false">
      <c r="A7" s="3" t="s">
        <v>426</v>
      </c>
      <c r="B7" s="3" t="s">
        <v>427</v>
      </c>
      <c r="C7" s="3" t="s">
        <v>1</v>
      </c>
      <c r="D7" s="3" t="s">
        <v>423</v>
      </c>
      <c r="E7" s="3" t="s">
        <v>428</v>
      </c>
      <c r="F7" s="3" t="s">
        <v>429</v>
      </c>
    </row>
    <row r="8" customFormat="false" ht="36" hidden="false" customHeight="true" outlineLevel="0" collapsed="false">
      <c r="A8" s="3" t="s">
        <v>430</v>
      </c>
      <c r="B8" s="3" t="s">
        <v>431</v>
      </c>
      <c r="C8" s="3" t="s">
        <v>14</v>
      </c>
      <c r="D8" s="3" t="s">
        <v>423</v>
      </c>
      <c r="E8" s="3" t="s">
        <v>432</v>
      </c>
      <c r="F8" s="3" t="s">
        <v>433</v>
      </c>
    </row>
    <row r="9" customFormat="false" ht="36" hidden="false" customHeight="true" outlineLevel="0" collapsed="false">
      <c r="A9" s="3" t="s">
        <v>434</v>
      </c>
      <c r="B9" s="3" t="s">
        <v>435</v>
      </c>
      <c r="C9" s="3" t="s">
        <v>373</v>
      </c>
      <c r="D9" s="3" t="s">
        <v>423</v>
      </c>
      <c r="E9" s="3" t="s">
        <v>436</v>
      </c>
      <c r="F9" s="3" t="s">
        <v>437</v>
      </c>
    </row>
    <row r="11" customFormat="false" ht="18" hidden="false" customHeight="true" outlineLevel="0" collapsed="false">
      <c r="A11" s="15"/>
    </row>
    <row r="12" customFormat="false" ht="18" hidden="false" customHeight="true" outlineLevel="0" collapsed="false">
      <c r="A12" s="16" t="s">
        <v>438</v>
      </c>
    </row>
    <row r="13" customFormat="false" ht="18" hidden="false" customHeight="true" outlineLevel="0" collapsed="false">
      <c r="A13" s="15"/>
    </row>
    <row r="14" customFormat="false" ht="18" hidden="false" customHeight="true" outlineLevel="0" collapsed="false">
      <c r="A14" s="15" t="s">
        <v>439</v>
      </c>
    </row>
    <row r="15" customFormat="false" ht="18" hidden="false" customHeight="true" outlineLevel="0" collapsed="false">
      <c r="A15" s="15"/>
    </row>
    <row r="16" customFormat="false" ht="18" hidden="false" customHeight="true" outlineLevel="0" collapsed="false">
      <c r="A16" s="15" t="s">
        <v>440</v>
      </c>
    </row>
    <row r="17" customFormat="false" ht="18" hidden="false" customHeight="true" outlineLevel="0" collapsed="false">
      <c r="A17" s="17" t="s">
        <v>441</v>
      </c>
    </row>
    <row r="18" customFormat="false" ht="18" hidden="false" customHeight="true" outlineLevel="0" collapsed="false">
      <c r="A18" s="17" t="s">
        <v>442</v>
      </c>
    </row>
    <row r="19" customFormat="false" ht="18" hidden="false" customHeight="true" outlineLevel="0" collapsed="false">
      <c r="A19" s="17" t="s">
        <v>443</v>
      </c>
    </row>
    <row r="20" customFormat="false" ht="18" hidden="false" customHeight="true" outlineLevel="0" collapsed="false">
      <c r="A20" s="17" t="s">
        <v>444</v>
      </c>
    </row>
    <row r="21" customFormat="false" ht="18" hidden="false" customHeight="true" outlineLevel="0" collapsed="false">
      <c r="A21" s="17" t="s">
        <v>445</v>
      </c>
    </row>
    <row r="22" customFormat="false" ht="18" hidden="false" customHeight="true" outlineLevel="0" collapsed="false">
      <c r="A22" s="17" t="s">
        <v>446</v>
      </c>
    </row>
    <row r="23" customFormat="false" ht="18" hidden="false" customHeight="true" outlineLevel="0" collapsed="false">
      <c r="A23" s="17" t="s">
        <v>447</v>
      </c>
    </row>
    <row r="24" customFormat="false" ht="18" hidden="false" customHeight="true" outlineLevel="0" collapsed="false">
      <c r="A24" s="15"/>
    </row>
    <row r="25" customFormat="false" ht="18" hidden="false" customHeight="true" outlineLevel="0" collapsed="false">
      <c r="A25" s="15" t="s">
        <v>448</v>
      </c>
    </row>
    <row r="26" customFormat="false" ht="18" hidden="false" customHeight="true" outlineLevel="0" collapsed="false">
      <c r="A26" s="17" t="s">
        <v>449</v>
      </c>
    </row>
    <row r="27" customFormat="false" ht="18" hidden="false" customHeight="true" outlineLevel="0" collapsed="false">
      <c r="A27" s="17" t="s">
        <v>450</v>
      </c>
    </row>
    <row r="28" customFormat="false" ht="18" hidden="false" customHeight="true" outlineLevel="0" collapsed="false">
      <c r="A28" s="15"/>
    </row>
    <row r="29" customFormat="false" ht="18" hidden="false" customHeight="true" outlineLevel="0" collapsed="false">
      <c r="A29" s="15" t="s">
        <v>451</v>
      </c>
    </row>
    <row r="30" customFormat="false" ht="18" hidden="false" customHeight="true" outlineLevel="0" collapsed="false">
      <c r="A30" s="17" t="s">
        <v>452</v>
      </c>
    </row>
    <row r="31" customFormat="false" ht="18" hidden="false" customHeight="true" outlineLevel="0" collapsed="false">
      <c r="A31" s="17" t="s">
        <v>453</v>
      </c>
    </row>
    <row r="32" customFormat="false" ht="18" hidden="false" customHeight="true" outlineLevel="0" collapsed="false">
      <c r="A32" s="15"/>
    </row>
    <row r="33" customFormat="false" ht="18" hidden="false" customHeight="true" outlineLevel="0" collapsed="false">
      <c r="A33" s="16" t="s">
        <v>454</v>
      </c>
    </row>
    <row r="34" customFormat="false" ht="18" hidden="false" customHeight="true" outlineLevel="0" collapsed="false">
      <c r="A34" s="17" t="s">
        <v>455</v>
      </c>
    </row>
    <row r="35" customFormat="false" ht="18" hidden="false" customHeight="true" outlineLevel="0" collapsed="false">
      <c r="A35" s="17" t="s">
        <v>456</v>
      </c>
    </row>
    <row r="36" customFormat="false" ht="18" hidden="false" customHeight="true" outlineLevel="0" collapsed="false">
      <c r="A36" s="17" t="s">
        <v>457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2026-04-11T08:00:31Z</dcterms:created>
  <dc:creator>openpyxl</dc:creator>
  <dc:description/>
  <dc:language>en-US</dc:language>
  <cp:lastModifiedBy/>
  <dcterms:modified xsi:type="dcterms:W3CDTF">2026-04-11T08:00:31Z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